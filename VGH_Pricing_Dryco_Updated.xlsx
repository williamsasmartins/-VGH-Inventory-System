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-110" windowWidth="19420" windowHeight="11020" tabRatio="795" firstSheet="0" activeTab="1" autoFilterDateGrouping="1"/>
  </bookViews>
  <sheets>
    <sheet xmlns:r="http://schemas.openxmlformats.org/officeDocument/2006/relationships" name="DRT Quote Template" sheetId="1" state="visible" r:id="rId1"/>
    <sheet xmlns:r="http://schemas.openxmlformats.org/officeDocument/2006/relationships" name="List of Material Kenroc" sheetId="2" state="visible" r:id="rId2"/>
    <sheet xmlns:r="http://schemas.openxmlformats.org/officeDocument/2006/relationships" name="List of Material Pacific West" sheetId="3" state="visible" r:id="rId3"/>
    <sheet xmlns:r="http://schemas.openxmlformats.org/officeDocument/2006/relationships" name="List of Material Dryco" sheetId="4" state="visible" r:id="rId4"/>
  </sheets>
  <definedNames>
    <definedName name="delete">OFFSET(#REF!,0,0,MATCH(REPT("z",255),#REF!),1)</definedName>
    <definedName name="items">OFFSET(#REF!,0,0,MATCH(REPT("z",255),#REF!),1)</definedName>
    <definedName name="unkbown">OFFSET(#REF!,0,0,MATCH(REPT("z",255),#REF!),1)</definedName>
    <definedName name="unknown">OFFSET(#REF!,0,0,MATCH(REPT("z",255),#REF!),1)</definedName>
    <definedName name="valuevx">42.314159</definedName>
    <definedName name="delete" localSheetId="0">OFFSET(#REF!,0,0,MATCH(REPT("z",255),#REF!),1)</definedName>
    <definedName name="items" localSheetId="0">OFFSET(#REF!,0,0,MATCH(REPT("z",255),#REF!),1)</definedName>
    <definedName name="unkbown" localSheetId="0">OFFSET(#REF!,0,0,MATCH(REPT("z",255),#REF!),1)</definedName>
    <definedName name="unknown" localSheetId="0">OFFSET(#REF!,0,0,MATCH(REPT("z",255),#REF!),1)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"/>
    <numFmt numFmtId="166" formatCode="0.000"/>
  </numFmts>
  <fonts count="17"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Trebuchet MS"/>
      <family val="2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6"/>
    </font>
    <font>
      <name val="Arial Black"/>
      <family val="2"/>
      <color rgb="FF666666"/>
      <sz val="7"/>
    </font>
    <font>
      <name val="Arial"/>
      <family val="2"/>
      <b val="1"/>
      <sz val="7"/>
    </font>
    <font>
      <name val="Arial"/>
      <family val="2"/>
      <b val="1"/>
      <color rgb="FF666666"/>
      <sz val="7"/>
    </font>
    <font>
      <name val="Arial"/>
      <family val="2"/>
      <sz val="7"/>
    </font>
    <font>
      <name val="Arial Black"/>
      <family val="2"/>
      <b val="1"/>
      <color rgb="FF666666"/>
      <sz val="7"/>
    </font>
    <font>
      <name val="Arial"/>
      <family val="2"/>
      <sz val="8"/>
    </font>
    <font>
      <name val="Arial Black"/>
      <family val="2"/>
      <b val="1"/>
      <color theme="1" tint="0.1499984740745262"/>
      <sz val="7"/>
    </font>
    <font>
      <name val="Helvetica Neue"/>
      <color indexed="8"/>
      <sz val="10"/>
    </font>
    <font>
      <name val="Helvetica"/>
      <color rgb="FF000000"/>
      <sz val="10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3" fillId="0" borderId="0"/>
    <xf numFmtId="44" fontId="1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4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horizontal="left" vertical="center"/>
    </xf>
    <xf numFmtId="4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4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40" fontId="12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3">
      <alignment horizontal="center" vertical="center"/>
    </xf>
    <xf numFmtId="165" fontId="2" fillId="0" borderId="0" applyAlignment="1" pivotButton="0" quotePrefix="0" xfId="3">
      <alignment horizontal="left" vertical="center"/>
    </xf>
    <xf numFmtId="0" fontId="5" fillId="0" borderId="0" applyAlignment="1" pivotButton="0" quotePrefix="0" xfId="0">
      <alignment horizontal="center"/>
    </xf>
    <xf numFmtId="0" fontId="4" fillId="0" borderId="1" pivotButton="0" quotePrefix="0" xfId="0"/>
    <xf numFmtId="49" fontId="4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9" fontId="6" fillId="0" borderId="0" pivotButton="0" quotePrefix="0" xfId="1"/>
    <xf numFmtId="0" fontId="1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9" fontId="0" fillId="0" borderId="2" applyAlignment="1" pivotButton="0" quotePrefix="0" xfId="0">
      <alignment horizontal="left" vertical="top" wrapText="1"/>
    </xf>
    <xf numFmtId="49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 readingOrder="1"/>
    </xf>
    <xf numFmtId="49" fontId="15" fillId="0" borderId="2" applyAlignment="1" pivotButton="0" quotePrefix="0" xfId="0">
      <alignment horizontal="left" vertical="top" wrapText="1"/>
    </xf>
    <xf numFmtId="49" fontId="15" fillId="0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49" fontId="4" fillId="0" borderId="1" pivotButton="0" quotePrefix="0" xfId="0"/>
    <xf numFmtId="0" fontId="12" fillId="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40" fontId="12" fillId="0" borderId="1" applyAlignment="1" pivotButton="0" quotePrefix="0" xfId="0">
      <alignment horizontal="center" vertical="center"/>
    </xf>
    <xf numFmtId="2" fontId="12" fillId="0" borderId="1" applyAlignment="1" pivotButton="0" quotePrefix="0" xfId="0">
      <alignment horizontal="center" vertical="center"/>
    </xf>
    <xf numFmtId="164" fontId="12" fillId="0" borderId="1" applyAlignment="1" pivotButton="0" quotePrefix="0" xfId="3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right" vertical="center"/>
    </xf>
  </cellXfs>
  <cellStyles count="4">
    <cellStyle name="Normal" xfId="0" builtinId="0"/>
    <cellStyle name="Percent" xfId="1" builtinId="5"/>
    <cellStyle name="Normal 2" xfId="2"/>
    <cellStyle name="Currency" xfId="3" builtinId="4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1219200</colOff>
      <row>0</row>
      <rowOff>50800</rowOff>
    </from>
    <to>
      <col>4</col>
      <colOff>27730</colOff>
      <row>4</row>
      <rowOff>34860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19200" y="50800"/>
          <a:ext cx="3577380" cy="606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topLeftCell="A6" zoomScale="150" zoomScaleNormal="150" zoomScalePageLayoutView="150" workbookViewId="0">
      <selection activeCell="B7" sqref="B7"/>
    </sheetView>
  </sheetViews>
  <sheetFormatPr baseColWidth="8" defaultColWidth="8.81640625" defaultRowHeight="12.5"/>
  <cols>
    <col width="19" customWidth="1" min="1" max="1"/>
    <col width="19.81640625" customWidth="1" min="2" max="2"/>
    <col width="21.1796875" customWidth="1" min="3" max="3"/>
    <col width="11.453125" customWidth="1" min="4" max="4"/>
    <col width="8.1796875" customWidth="1" min="5" max="5"/>
    <col width="11.54296875" customWidth="1" min="6" max="6"/>
    <col width="18.81640625" customWidth="1" min="7" max="7"/>
    <col width="10.453125" customWidth="1" min="8" max="8"/>
  </cols>
  <sheetData>
    <row r="1" ht="13.75" customFormat="1" customHeight="1" s="31">
      <c r="A1" s="30" t="n"/>
      <c r="B1" s="30" t="n"/>
      <c r="C1" s="30" t="n"/>
      <c r="D1" s="30" t="n"/>
      <c r="E1" s="30" t="n"/>
      <c r="F1" s="30" t="n"/>
    </row>
    <row r="2" ht="8.5" customFormat="1" customHeight="1" s="31">
      <c r="A2" s="32" t="n"/>
      <c r="B2" s="33" t="n"/>
      <c r="C2" s="33" t="n"/>
      <c r="D2" s="32" t="n"/>
      <c r="E2" s="32" t="n"/>
      <c r="F2" s="34" t="n"/>
    </row>
    <row r="3" ht="14.15" customFormat="1" customHeight="1" s="31">
      <c r="A3" s="35" t="n"/>
      <c r="B3" s="35" t="n"/>
      <c r="C3" s="35" t="n"/>
      <c r="D3" s="35" t="n"/>
      <c r="E3" s="35" t="n"/>
      <c r="F3" s="35" t="n"/>
      <c r="K3" s="36" t="n"/>
    </row>
    <row r="4" ht="14.15" customFormat="1" customHeight="1" s="31">
      <c r="A4" s="37" t="n"/>
      <c r="B4" s="37" t="n"/>
      <c r="C4" s="37" t="n"/>
      <c r="D4" s="37" t="n"/>
      <c r="E4" s="37" t="n"/>
      <c r="F4" s="37" t="n"/>
      <c r="K4" s="36" t="n"/>
    </row>
    <row r="5" ht="14.15" customFormat="1" customHeight="1" s="31">
      <c r="A5" s="37" t="n"/>
      <c r="B5" s="37" t="n"/>
      <c r="C5" s="38" t="inlineStr">
        <is>
          <t>2430 W Broadway, Vancouver BC, V6K 2E7</t>
        </is>
      </c>
      <c r="E5" s="37" t="n"/>
      <c r="F5" s="37" t="n"/>
      <c r="K5" s="36" t="n"/>
    </row>
    <row r="6" ht="14.15" customFormat="1" customHeight="1" s="7">
      <c r="D6" s="26" t="n"/>
    </row>
    <row r="7" ht="20.15" customFormat="1" customHeight="1" s="4">
      <c r="A7" s="3" t="inlineStr">
        <is>
          <t>Project:</t>
        </is>
      </c>
      <c r="B7" s="3" t="n"/>
      <c r="C7" s="17" t="n"/>
      <c r="E7" s="5" t="n"/>
    </row>
    <row r="8" ht="8.5" customFormat="1" customHeight="1" s="4">
      <c r="A8" s="3" t="n"/>
      <c r="B8" s="3" t="n"/>
      <c r="C8" s="2" t="n"/>
      <c r="D8" s="1" t="n"/>
      <c r="E8" s="16" t="n"/>
    </row>
    <row r="9" ht="20.15" customFormat="1" customHeight="1" s="4">
      <c r="A9" s="3" t="inlineStr">
        <is>
          <t>Total Quoted Price:</t>
        </is>
      </c>
      <c r="B9" s="25">
        <f>SUM(G17:G33)</f>
        <v/>
      </c>
      <c r="D9" s="1" t="n"/>
      <c r="E9" s="16" t="n"/>
    </row>
    <row r="10" ht="20.15" customFormat="1" customHeight="1" s="9">
      <c r="A10" s="3" t="n"/>
      <c r="D10" s="10" t="n"/>
      <c r="E10" s="11" t="n"/>
    </row>
    <row r="11" ht="20.15" customFormat="1" customHeight="1" s="12">
      <c r="A11" s="3" t="inlineStr">
        <is>
          <t>Description:</t>
        </is>
      </c>
      <c r="B11" s="14" t="inlineStr">
        <is>
          <t>- Remove or adjust stud framed and tbar ceilings as required to access joists</t>
        </is>
      </c>
      <c r="C11" s="14" t="n"/>
      <c r="D11" s="54" t="n"/>
      <c r="E11" s="55" t="n"/>
      <c r="F11" s="14" t="n"/>
      <c r="G11" s="14" t="n"/>
    </row>
    <row r="12" ht="20.15" customFormat="1" customHeight="1" s="12">
      <c r="A12" s="8" t="n"/>
      <c r="B12" s="14" t="n"/>
      <c r="C12" s="14" t="n"/>
      <c r="D12" s="54" t="n"/>
      <c r="E12" s="55" t="n"/>
      <c r="F12" s="14" t="n"/>
      <c r="G12" s="14" t="n"/>
    </row>
    <row r="13" ht="20.15" customFormat="1" customHeight="1" s="12">
      <c r="A13" s="8" t="n"/>
      <c r="B13" s="14" t="n"/>
      <c r="C13" s="14" t="n"/>
      <c r="D13" s="54" t="n"/>
      <c r="E13" s="55" t="n"/>
      <c r="F13" s="14" t="n"/>
      <c r="G13" s="14" t="n"/>
    </row>
    <row r="14" ht="20.15" customFormat="1" customHeight="1" s="12">
      <c r="A14" s="13" t="n"/>
      <c r="B14" s="15" t="n"/>
      <c r="C14" s="14" t="n"/>
      <c r="D14" s="54" t="n"/>
      <c r="E14" s="56" t="n"/>
      <c r="F14" s="14" t="n"/>
      <c r="G14" s="14" t="n"/>
    </row>
    <row r="15" ht="20.15" customFormat="1" customHeight="1" s="12">
      <c r="A15" s="13" t="n"/>
      <c r="B15" s="15" t="n"/>
      <c r="C15" s="14" t="n"/>
      <c r="D15" s="54" t="n"/>
      <c r="E15" s="56" t="n"/>
      <c r="F15" s="14" t="n"/>
      <c r="G15" s="14" t="n"/>
    </row>
    <row r="16" ht="20.15" customFormat="1" customHeight="1" s="12">
      <c r="A16" s="27" t="n"/>
      <c r="B16" s="27" t="inlineStr">
        <is>
          <t>Material Code</t>
        </is>
      </c>
      <c r="C16" s="20" t="inlineStr">
        <is>
          <t xml:space="preserve">Description </t>
        </is>
      </c>
      <c r="D16" s="19" t="inlineStr">
        <is>
          <t>Quantity</t>
        </is>
      </c>
      <c r="E16" s="19" t="inlineStr">
        <is>
          <t>Units</t>
        </is>
      </c>
      <c r="F16" s="18" t="inlineStr">
        <is>
          <t>Rate</t>
        </is>
      </c>
      <c r="G16" s="19" t="inlineStr">
        <is>
          <t>Cost</t>
        </is>
      </c>
    </row>
    <row r="17" ht="15" customFormat="1" customHeight="1" s="12">
      <c r="A17" s="6" t="inlineStr">
        <is>
          <t xml:space="preserve">Material </t>
        </is>
      </c>
      <c r="B17" s="28" t="inlineStr">
        <is>
          <t>253st</t>
        </is>
      </c>
      <c r="C17" s="29">
        <f>IFERROR(VLOOKUP(B17,'List of Material Kenroc'!$E$3:F325,2,FALSE),0)</f>
        <v/>
      </c>
      <c r="D17" s="21" t="n">
        <v>5</v>
      </c>
      <c r="E17" s="22">
        <f>VLOOKUP(B17,'List of Material Kenroc'!$H$3:I326,2,FALSE)</f>
        <v/>
      </c>
      <c r="F17" s="23">
        <f>IFERROR(VLOOKUP(B17,'List of Material Kenroc'!$B$3:$C$326,2,FALSE),0)*1.15</f>
        <v/>
      </c>
      <c r="G17" s="24">
        <f>F17*D17</f>
        <v/>
      </c>
    </row>
    <row r="18" ht="15" customFormat="1" customHeight="1" s="12">
      <c r="A18" s="6" t="n"/>
      <c r="B18" s="28" t="inlineStr">
        <is>
          <t>253t</t>
        </is>
      </c>
      <c r="C18" s="29">
        <f>IFERROR(VLOOKUP(B18,'List of Material Kenroc'!$E$3:F326,2,FALSE),0)</f>
        <v/>
      </c>
      <c r="D18" s="21" t="n"/>
      <c r="E18" s="22">
        <f>VLOOKUP(B18,'List of Material Kenroc'!$H$3:I327,2,FALSE)</f>
        <v/>
      </c>
      <c r="F18" s="23">
        <f>IFERROR(VLOOKUP(B18,'List of Material Kenroc'!$B$3:$C$326,2,FALSE),0)*1.15</f>
        <v/>
      </c>
      <c r="G18" s="24">
        <f>F18*D18</f>
        <v/>
      </c>
    </row>
    <row r="19" ht="15" customFormat="1" customHeight="1" s="12">
      <c r="A19" s="6" t="n"/>
      <c r="B19" s="28" t="inlineStr">
        <is>
          <t>253s</t>
        </is>
      </c>
      <c r="C19" s="29">
        <f>IFERROR(VLOOKUP(B19,'List of Material Kenroc'!$E$3:F327,2,FALSE),0)</f>
        <v/>
      </c>
      <c r="D19" s="21" t="n"/>
      <c r="E19" s="22">
        <f>VLOOKUP(B19,'List of Material Kenroc'!$H$3:I328,2,FALSE)</f>
        <v/>
      </c>
      <c r="F19" s="23">
        <f>IFERROR(VLOOKUP(B19,'List of Material Kenroc'!$B$3:$C$326,2,FALSE),0)*1.15</f>
        <v/>
      </c>
      <c r="G19" s="24">
        <f>F19*D19</f>
        <v/>
      </c>
    </row>
    <row r="20" ht="15" customFormat="1" customHeight="1" s="12">
      <c r="A20" s="6" t="n"/>
      <c r="B20" s="28" t="inlineStr">
        <is>
          <t>12std</t>
        </is>
      </c>
      <c r="C20" s="29">
        <f>IFERROR(VLOOKUP(B20,'List of Material Kenroc'!$E$3:F328,2,FALSE),0)</f>
        <v/>
      </c>
      <c r="D20" s="21" t="n"/>
      <c r="E20" s="22">
        <f>VLOOKUP(B20,'List of Material Kenroc'!$H$3:I329,2,FALSE)</f>
        <v/>
      </c>
      <c r="F20" s="23">
        <f>IFERROR(VLOOKUP(B20,'List of Material Kenroc'!$B$3:$C$326,2,FALSE),0)*1.15</f>
        <v/>
      </c>
      <c r="G20" s="24">
        <f>F20*D20</f>
        <v/>
      </c>
    </row>
    <row r="21" ht="15" customFormat="1" customHeight="1" s="12">
      <c r="A21" s="6" t="n"/>
      <c r="B21" s="28" t="inlineStr">
        <is>
          <t>r12</t>
        </is>
      </c>
      <c r="C21" s="29">
        <f>IFERROR(VLOOKUP(B21,'List of Material Kenroc'!$E$3:F329,2,FALSE),0)</f>
        <v/>
      </c>
      <c r="D21" s="21" t="n"/>
      <c r="E21" s="22">
        <f>VLOOKUP(B21,'List of Material Kenroc'!$H$3:I330,2,FALSE)</f>
        <v/>
      </c>
      <c r="F21" s="23">
        <f>IFERROR(VLOOKUP(B21,'List of Material Kenroc'!$B$3:$C$326,2,FALSE),0)*1.15</f>
        <v/>
      </c>
      <c r="G21" s="24">
        <f>F21*D21</f>
        <v/>
      </c>
    </row>
    <row r="22" ht="15" customFormat="1" customHeight="1" s="12">
      <c r="A22" s="6" t="n"/>
      <c r="B22" s="28" t="inlineStr">
        <is>
          <t>tm</t>
        </is>
      </c>
      <c r="C22" s="29">
        <f>IFERROR(VLOOKUP(B22,'List of Material Kenroc'!$E$3:F330,2,FALSE),0)</f>
        <v/>
      </c>
      <c r="D22" s="21" t="n"/>
      <c r="E22" s="22">
        <f>VLOOKUP(B22,'List of Material Kenroc'!$H$3:I329,2,FALSE)</f>
        <v/>
      </c>
      <c r="F22" s="23">
        <f>IFERROR(VLOOKUP(B22,'List of Material Kenroc'!$B$3:$C$326,2,FALSE),0)*1.15</f>
        <v/>
      </c>
      <c r="G22" s="24">
        <f>F22*D22</f>
        <v/>
      </c>
    </row>
    <row r="23" ht="15" customFormat="1" customHeight="1" s="12">
      <c r="A23" s="6" t="n"/>
      <c r="B23" s="28" t="inlineStr">
        <is>
          <t>256st</t>
        </is>
      </c>
      <c r="C23" s="29">
        <f>IFERROR(VLOOKUP(B23,'List of Material Kenroc'!$E$3:F327,2,FALSE),0)</f>
        <v/>
      </c>
      <c r="D23" s="21" t="n">
        <v>2</v>
      </c>
      <c r="E23" s="22">
        <f>VLOOKUP(B23,'List of Material Kenroc'!$H$3:I326,2,FALSE)</f>
        <v/>
      </c>
      <c r="F23" s="23">
        <f>IFERROR(VLOOKUP(B23,'List of Material Kenroc'!$B$3:$C$326,2,FALSE),0)*1.15</f>
        <v/>
      </c>
      <c r="G23" s="24">
        <f>F23*D23</f>
        <v/>
      </c>
    </row>
    <row r="24" ht="15" customFormat="1" customHeight="1" s="12">
      <c r="A24" s="6" t="n"/>
      <c r="B24" s="28" t="inlineStr">
        <is>
          <t>252s</t>
        </is>
      </c>
      <c r="C24" s="29">
        <f>IFERROR(VLOOKUP(B24,'List of Material Kenroc'!$E$3:F328,2,FALSE),0)</f>
        <v/>
      </c>
      <c r="D24" s="21" t="n"/>
      <c r="E24" s="22">
        <f>VLOOKUP(B24,'List of Material Kenroc'!$H$3:I327,2,FALSE)</f>
        <v/>
      </c>
      <c r="F24" s="23">
        <f>IFERROR(VLOOKUP(B24,'List of Material Kenroc'!$B$3:$C$326,2,FALSE),0)*1.15</f>
        <v/>
      </c>
      <c r="G24" s="24">
        <f>F24*D24</f>
        <v/>
      </c>
    </row>
    <row r="25" ht="15" customFormat="1" customHeight="1" s="12">
      <c r="A25" s="6" t="n"/>
      <c r="B25" s="28" t="n"/>
      <c r="C25" s="29">
        <f>IFERROR(VLOOKUP(B25,'List of Material Kenroc'!$E$3:F329,2,FALSE),0)</f>
        <v/>
      </c>
      <c r="D25" s="21" t="n"/>
      <c r="E25" s="22">
        <f>VLOOKUP(B25,'List of Material Kenroc'!$H$3:I328,2,FALSE)</f>
        <v/>
      </c>
      <c r="F25" s="23">
        <f>IFERROR(VLOOKUP(B25,'List of Material Kenroc'!$B$3:$C$326,2,FALSE),0)*1.15</f>
        <v/>
      </c>
      <c r="G25" s="24">
        <f>F25*D25</f>
        <v/>
      </c>
    </row>
    <row r="26" ht="15" customFormat="1" customHeight="1" s="12">
      <c r="A26" s="6" t="n"/>
      <c r="B26" s="28" t="n"/>
      <c r="C26" s="29">
        <f>IFERROR(VLOOKUP(B26,'List of Material Kenroc'!$E$3:F330,2,FALSE),0)</f>
        <v/>
      </c>
      <c r="D26" s="21" t="n"/>
      <c r="E26" s="22">
        <f>VLOOKUP(B26,'List of Material Kenroc'!$H$3:I329,2,FALSE)</f>
        <v/>
      </c>
      <c r="F26" s="23">
        <f>IFERROR(VLOOKUP(B26,'List of Material Kenroc'!$B$3:$C$326,2,FALSE),0)*1.15</f>
        <v/>
      </c>
      <c r="G26" s="24">
        <f>F26*D26</f>
        <v/>
      </c>
    </row>
    <row r="27" ht="15" customFormat="1" customHeight="1" s="12">
      <c r="A27" s="27" t="n"/>
      <c r="B27" s="48" t="n"/>
      <c r="C27" s="49">
        <f>IFERROR(VLOOKUP(B27,'List of Material Kenroc'!$E$3:F331,2,FALSE),0)</f>
        <v/>
      </c>
      <c r="D27" s="50" t="n"/>
      <c r="E27" s="51">
        <f>VLOOKUP(B27,'List of Material Kenroc'!$H$3:I330,2,FALSE)</f>
        <v/>
      </c>
      <c r="F27" s="52">
        <f>IFERROR(VLOOKUP(B27,'List of Material Kenroc'!$B$3:$C$326,2,FALSE),0)*1.15</f>
        <v/>
      </c>
      <c r="G27" s="53">
        <f>F27*D27</f>
        <v/>
      </c>
    </row>
    <row r="28" ht="15" customFormat="1" customHeight="1" s="12">
      <c r="A28" s="6" t="n"/>
      <c r="B28" s="28" t="n"/>
      <c r="C28" s="29" t="n"/>
      <c r="D28" s="21" t="n"/>
      <c r="E28" s="22" t="n"/>
      <c r="F28" s="23" t="n"/>
      <c r="G28" s="24" t="n"/>
    </row>
    <row r="29" ht="15" customFormat="1" customHeight="1" s="12">
      <c r="A29" s="6" t="inlineStr">
        <is>
          <t>Labour</t>
        </is>
      </c>
      <c r="B29" s="28" t="inlineStr">
        <is>
          <t>vghl</t>
        </is>
      </c>
      <c r="C29" s="29">
        <f>IFERROR(VLOOKUP(B29,'List of Material Kenroc'!$E$3:F333,2,FALSE),0)</f>
        <v/>
      </c>
      <c r="D29" s="21" t="n"/>
      <c r="E29" s="22">
        <f>VLOOKUP(B29,'List of Material Kenroc'!$H$3:I331,2,FALSE)</f>
        <v/>
      </c>
      <c r="F29" s="23">
        <f>IFERROR(VLOOKUP(B29,'List of Material Kenroc'!$B$3:$C$326,2,FALSE),0)</f>
        <v/>
      </c>
      <c r="G29" s="24">
        <f>F29*D29</f>
        <v/>
      </c>
    </row>
    <row r="30" ht="15" customFormat="1" customHeight="1" s="12">
      <c r="A30" s="6" t="n"/>
      <c r="B30" s="28" t="inlineStr">
        <is>
          <t>vghl</t>
        </is>
      </c>
      <c r="C30" s="29">
        <f>IFERROR(VLOOKUP(B30,'List of Material Kenroc'!$E$3:F334,2,FALSE),0)</f>
        <v/>
      </c>
      <c r="D30" s="21" t="n"/>
      <c r="E30" s="22">
        <f>VLOOKUP(B30,'List of Material Kenroc'!$H$3:I332,2,FALSE)</f>
        <v/>
      </c>
      <c r="F30" s="23">
        <f>IFERROR(VLOOKUP(B30,'List of Material Kenroc'!$B$3:$C$326,2,FALSE),0)</f>
        <v/>
      </c>
      <c r="G30" s="24">
        <f>F30*D30</f>
        <v/>
      </c>
    </row>
    <row r="31" ht="15" customFormat="1" customHeight="1" s="12">
      <c r="A31" s="6" t="n"/>
      <c r="B31" s="28" t="inlineStr">
        <is>
          <t>vghl</t>
        </is>
      </c>
      <c r="C31" s="29">
        <f>IFERROR(VLOOKUP(B31,'List of Material Kenroc'!$E$3:F335,2,FALSE),0)</f>
        <v/>
      </c>
      <c r="D31" s="21" t="n"/>
      <c r="E31" s="22">
        <f>VLOOKUP(B31,'List of Material Kenroc'!$H$3:I333,2,FALSE)</f>
        <v/>
      </c>
      <c r="F31" s="23">
        <f>IFERROR(VLOOKUP(B31,'List of Material Kenroc'!$B$3:$C$326,2,FALSE),0)</f>
        <v/>
      </c>
      <c r="G31" s="24">
        <f>F31*D31</f>
        <v/>
      </c>
    </row>
    <row r="32" ht="15" customFormat="1" customHeight="1" s="12">
      <c r="B32" s="14" t="inlineStr">
        <is>
          <t>d</t>
        </is>
      </c>
      <c r="C32" s="29">
        <f>IFERROR(VLOOKUP(B32,'List of Material Kenroc'!$E$3:F334,2,FALSE),0)</f>
        <v/>
      </c>
      <c r="D32" s="21" t="n"/>
      <c r="E32" s="22">
        <f>VLOOKUP(B32,'List of Material Kenroc'!$H$3:I337,2,FALSE)</f>
        <v/>
      </c>
      <c r="F32" s="23">
        <f>IFERROR(VLOOKUP(B32,'List of Material Kenroc'!$B$3:$C$326,2,FALSE),0)*1.3</f>
        <v/>
      </c>
      <c r="G32" s="24">
        <f>F32*D32</f>
        <v/>
      </c>
    </row>
    <row r="33" ht="15" customFormat="1" customHeight="1" s="12">
      <c r="B33" s="14" t="inlineStr">
        <is>
          <t>df</t>
        </is>
      </c>
      <c r="C33" s="29">
        <f>IFERROR(VLOOKUP(B33,'List of Material Kenroc'!$E$3:F335,2,FALSE),0)</f>
        <v/>
      </c>
      <c r="D33" s="21" t="n"/>
      <c r="E33" s="22">
        <f>VLOOKUP(B33,'List of Material Kenroc'!$H$3:I338,2,FALSE)</f>
        <v/>
      </c>
      <c r="F33" s="23">
        <f>IFERROR(VLOOKUP(B33,'List of Material Kenroc'!$B$3:$C$326,2,FALSE),0)*1.3</f>
        <v/>
      </c>
      <c r="G33" s="24">
        <f>F33*D33</f>
        <v/>
      </c>
    </row>
    <row r="34" ht="20.15" customFormat="1" customHeight="1" s="12">
      <c r="C34" s="29" t="n"/>
      <c r="D34" s="6" t="n"/>
      <c r="E34" s="11" t="n"/>
    </row>
    <row r="35" ht="20.15" customFormat="1" customHeight="1" s="12">
      <c r="C35" s="29" t="n"/>
      <c r="E35" s="11" t="n"/>
    </row>
    <row r="36" ht="20.15" customFormat="1" customHeight="1" s="12">
      <c r="C36" s="29" t="n"/>
      <c r="D36" s="6" t="n"/>
      <c r="E36" s="11" t="n"/>
    </row>
    <row r="37" ht="20.15" customFormat="1" customHeight="1" s="12">
      <c r="A37" s="9" t="n"/>
      <c r="B37" s="9" t="n"/>
      <c r="C37" s="9" t="n"/>
      <c r="D37" s="9" t="n"/>
      <c r="E37" s="9" t="n"/>
      <c r="F37" s="9" t="n"/>
    </row>
    <row r="38" ht="12" customFormat="1" customHeight="1" s="6"/>
    <row r="39" ht="12" customFormat="1" customHeight="1" s="6"/>
    <row r="40" ht="14.15" customFormat="1" customHeight="1" s="6"/>
  </sheetData>
  <printOptions horizontalCentered="1"/>
  <pageMargins left="0.7" right="0.7" top="0.75" bottom="0.75" header="0.3" footer="0.3"/>
  <pageSetup orientation="portrait" scale="92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6"/>
  <sheetViews>
    <sheetView tabSelected="1" workbookViewId="0">
      <selection activeCell="B324" sqref="B324"/>
    </sheetView>
  </sheetViews>
  <sheetFormatPr baseColWidth="8" defaultRowHeight="12.5"/>
  <cols>
    <col width="32.7265625" customWidth="1" min="1" max="1"/>
    <col width="14.26953125" customWidth="1" min="2" max="2"/>
    <col width="14.1796875" customWidth="1" min="3" max="3"/>
    <col width="26.81640625" customWidth="1" min="6" max="6"/>
    <col width="15.7265625" customWidth="1" min="8" max="8"/>
  </cols>
  <sheetData>
    <row r="1" ht="20.5" customFormat="1" customHeight="1" s="39">
      <c r="A1" s="40" t="inlineStr">
        <is>
          <t>Item</t>
        </is>
      </c>
      <c r="B1" s="41" t="inlineStr">
        <is>
          <t>Material Code</t>
        </is>
      </c>
      <c r="C1" s="41" t="inlineStr">
        <is>
          <t>Price</t>
        </is>
      </c>
      <c r="D1" s="42" t="n"/>
      <c r="E1" s="42" t="n"/>
      <c r="F1" s="42" t="n"/>
      <c r="G1" s="42" t="n"/>
      <c r="H1" s="42" t="n"/>
      <c r="I1" s="42" t="n"/>
    </row>
    <row r="2" ht="20.9" customFormat="1" customHeight="1" s="39">
      <c r="A2" s="40" t="n"/>
      <c r="B2" s="43" t="n"/>
      <c r="C2" s="42" t="n"/>
      <c r="D2" s="42" t="n"/>
      <c r="E2" s="42" t="n"/>
      <c r="F2" s="42" t="n"/>
      <c r="G2" s="42" t="n"/>
      <c r="H2" s="42" t="n"/>
      <c r="I2" s="42" t="n"/>
    </row>
    <row r="3" ht="21.25" customFormat="1" customHeight="1" s="39">
      <c r="A3" s="40" t="inlineStr">
        <is>
          <t>1/4” Flex</t>
        </is>
      </c>
      <c r="B3" s="41" t="inlineStr">
        <is>
          <t>14f</t>
        </is>
      </c>
      <c r="C3" s="44" t="n">
        <v>0.6</v>
      </c>
      <c r="D3" s="42" t="n"/>
      <c r="E3" s="41" t="inlineStr">
        <is>
          <t>14f</t>
        </is>
      </c>
      <c r="F3" s="41">
        <f>A3</f>
        <v/>
      </c>
      <c r="G3" s="42" t="n"/>
      <c r="H3" s="41" t="inlineStr">
        <is>
          <t>14f</t>
        </is>
      </c>
      <c r="I3" s="41" t="inlineStr">
        <is>
          <t>Sqft</t>
        </is>
      </c>
    </row>
    <row r="4" ht="21.25" customFormat="1" customHeight="1" s="39">
      <c r="A4" s="40" t="inlineStr">
        <is>
          <t>1/2” Std</t>
        </is>
      </c>
      <c r="B4" s="41" t="inlineStr">
        <is>
          <t>12std</t>
        </is>
      </c>
      <c r="C4" s="44" t="n">
        <v>0.465</v>
      </c>
      <c r="D4" s="42" t="n"/>
      <c r="E4" s="41" t="inlineStr">
        <is>
          <t>12std</t>
        </is>
      </c>
      <c r="F4" s="41">
        <f>A4</f>
        <v/>
      </c>
      <c r="G4" s="42" t="n"/>
      <c r="H4" s="41" t="inlineStr">
        <is>
          <t>12std</t>
        </is>
      </c>
      <c r="I4" s="41" t="inlineStr">
        <is>
          <t>Sqft</t>
        </is>
      </c>
    </row>
    <row r="5" ht="21.25" customFormat="1" customHeight="1" s="39">
      <c r="A5" s="40" t="inlineStr">
        <is>
          <t>1/2” CD</t>
        </is>
      </c>
      <c r="B5" s="41" t="inlineStr">
        <is>
          <t>12cd</t>
        </is>
      </c>
      <c r="C5" s="44" t="n">
        <v>0.63</v>
      </c>
      <c r="D5" s="42" t="n"/>
      <c r="E5" s="41" t="inlineStr">
        <is>
          <t>12cd</t>
        </is>
      </c>
      <c r="F5" s="41">
        <f>A5</f>
        <v/>
      </c>
      <c r="G5" s="42" t="n"/>
      <c r="H5" s="41" t="inlineStr">
        <is>
          <t>12cd</t>
        </is>
      </c>
      <c r="I5" s="41" t="inlineStr">
        <is>
          <t>Sqft</t>
        </is>
      </c>
    </row>
    <row r="6" ht="21.25" customFormat="1" customHeight="1" s="39">
      <c r="A6" s="40" t="inlineStr">
        <is>
          <t>1/2” Std 54”</t>
        </is>
      </c>
      <c r="B6" s="41" t="inlineStr">
        <is>
          <t>54STD</t>
        </is>
      </c>
      <c r="C6" s="44" t="n">
        <v>0.628</v>
      </c>
      <c r="D6" s="42" t="n"/>
      <c r="E6" s="41" t="inlineStr">
        <is>
          <t>54STD</t>
        </is>
      </c>
      <c r="F6" s="41">
        <f>A6</f>
        <v/>
      </c>
      <c r="G6" s="42" t="n"/>
      <c r="H6" s="41" t="inlineStr">
        <is>
          <t>54STD</t>
        </is>
      </c>
      <c r="I6" s="41" t="inlineStr">
        <is>
          <t>Sqft</t>
        </is>
      </c>
    </row>
    <row r="7" ht="21.25" customFormat="1" customHeight="1" s="39">
      <c r="A7" s="40" t="inlineStr">
        <is>
          <t>1/2” Type C</t>
        </is>
      </c>
      <c r="B7" s="41" t="inlineStr">
        <is>
          <t>12tc</t>
        </is>
      </c>
      <c r="C7" s="44" t="n">
        <v>0.578</v>
      </c>
      <c r="D7" s="42" t="n"/>
      <c r="E7" s="41" t="inlineStr">
        <is>
          <t>12tc</t>
        </is>
      </c>
      <c r="F7" s="41">
        <f>A7</f>
        <v/>
      </c>
      <c r="G7" s="42" t="n"/>
      <c r="H7" s="41" t="inlineStr">
        <is>
          <t>12tc</t>
        </is>
      </c>
      <c r="I7" s="41" t="inlineStr">
        <is>
          <t>Sqft</t>
        </is>
      </c>
    </row>
    <row r="8" ht="21.25" customFormat="1" customHeight="1" s="39">
      <c r="A8" s="40" t="inlineStr">
        <is>
          <t>1/2” Mould Resistant</t>
        </is>
      </c>
      <c r="B8" s="41" t="inlineStr">
        <is>
          <t>12mr</t>
        </is>
      </c>
      <c r="C8" s="44" t="n">
        <v>1.215</v>
      </c>
      <c r="D8" s="42" t="n"/>
      <c r="E8" s="41" t="inlineStr">
        <is>
          <t>12mr</t>
        </is>
      </c>
      <c r="F8" s="41">
        <f>A8</f>
        <v/>
      </c>
      <c r="G8" s="42" t="n"/>
      <c r="H8" s="41" t="inlineStr">
        <is>
          <t>12mr</t>
        </is>
      </c>
      <c r="I8" s="41" t="inlineStr">
        <is>
          <t>Sqft</t>
        </is>
      </c>
    </row>
    <row r="9" ht="21.25" customFormat="1" customHeight="1" s="39">
      <c r="A9" s="40" t="inlineStr">
        <is>
          <t>5/8” Type X</t>
        </is>
      </c>
      <c r="B9" s="41" t="inlineStr">
        <is>
          <t>58tx</t>
        </is>
      </c>
      <c r="C9" s="44" t="n">
        <v>0.578</v>
      </c>
      <c r="D9" s="42" t="n"/>
      <c r="E9" s="41" t="inlineStr">
        <is>
          <t>58tx</t>
        </is>
      </c>
      <c r="F9" s="41">
        <f>A9</f>
        <v/>
      </c>
      <c r="G9" s="42" t="n"/>
      <c r="H9" s="41" t="inlineStr">
        <is>
          <t>58tx</t>
        </is>
      </c>
      <c r="I9" s="41" t="inlineStr">
        <is>
          <t>Sqft</t>
        </is>
      </c>
    </row>
    <row r="10" ht="21.25" customFormat="1" customHeight="1" s="39">
      <c r="A10" s="40" t="inlineStr">
        <is>
          <t>5/8” Mould Resistant</t>
        </is>
      </c>
      <c r="B10" s="41" t="inlineStr">
        <is>
          <t>58mr</t>
        </is>
      </c>
      <c r="C10" s="44" t="n">
        <v>1.415</v>
      </c>
      <c r="D10" s="42" t="n"/>
      <c r="E10" s="41" t="inlineStr">
        <is>
          <t>58mr</t>
        </is>
      </c>
      <c r="F10" s="41">
        <f>A10</f>
        <v/>
      </c>
      <c r="G10" s="42" t="n"/>
      <c r="H10" s="41" t="inlineStr">
        <is>
          <t>58mr</t>
        </is>
      </c>
      <c r="I10" s="41" t="inlineStr">
        <is>
          <t>Sqft</t>
        </is>
      </c>
    </row>
    <row r="11" ht="21.25" customFormat="1" customHeight="1" s="39">
      <c r="A11" s="40" t="inlineStr">
        <is>
          <t>5/8” Type X 54”</t>
        </is>
      </c>
      <c r="B11" s="41" t="inlineStr">
        <is>
          <t>54tx</t>
        </is>
      </c>
      <c r="C11" s="44" t="inlineStr">
        <is>
          <t>?</t>
        </is>
      </c>
      <c r="D11" s="42" t="n"/>
      <c r="E11" s="41" t="inlineStr">
        <is>
          <t>54tx</t>
        </is>
      </c>
      <c r="F11" s="41">
        <f>A11</f>
        <v/>
      </c>
      <c r="G11" s="42" t="n"/>
      <c r="H11" s="41" t="inlineStr">
        <is>
          <t>54tx</t>
        </is>
      </c>
      <c r="I11" s="41" t="inlineStr">
        <is>
          <t>Sqft</t>
        </is>
      </c>
    </row>
    <row r="12" ht="21.25" customFormat="1" customHeight="1" s="39">
      <c r="A12" s="40" t="inlineStr">
        <is>
          <t>5/8” Type C</t>
        </is>
      </c>
      <c r="B12" s="41" t="inlineStr">
        <is>
          <t>58tc</t>
        </is>
      </c>
      <c r="C12" s="44" t="n">
        <v>0.578</v>
      </c>
      <c r="D12" s="42" t="n"/>
      <c r="E12" s="41" t="inlineStr">
        <is>
          <t>58tc</t>
        </is>
      </c>
      <c r="F12" s="41">
        <f>A12</f>
        <v/>
      </c>
      <c r="G12" s="42" t="n"/>
      <c r="H12" s="41" t="inlineStr">
        <is>
          <t>58tc</t>
        </is>
      </c>
      <c r="I12" s="41" t="inlineStr">
        <is>
          <t>Sqft</t>
        </is>
      </c>
    </row>
    <row r="13" ht="21.25" customFormat="1" customHeight="1" s="39">
      <c r="A13" s="40" t="inlineStr">
        <is>
          <t>1/2” GlassRoc</t>
        </is>
      </c>
      <c r="B13" s="41" t="inlineStr">
        <is>
          <t>12gr</t>
        </is>
      </c>
      <c r="C13" s="44" t="n">
        <v>1.28</v>
      </c>
      <c r="D13" s="42" t="n"/>
      <c r="E13" s="41" t="inlineStr">
        <is>
          <t>12gr</t>
        </is>
      </c>
      <c r="F13" s="41">
        <f>A13</f>
        <v/>
      </c>
      <c r="G13" s="42" t="n"/>
      <c r="H13" s="41" t="inlineStr">
        <is>
          <t>12gr</t>
        </is>
      </c>
      <c r="I13" s="41" t="inlineStr">
        <is>
          <t>Sqft</t>
        </is>
      </c>
    </row>
    <row r="14" ht="21.25" customFormat="1" customHeight="1" s="39">
      <c r="A14" s="40" t="inlineStr">
        <is>
          <t>5/8” GlassRoc</t>
        </is>
      </c>
      <c r="B14" s="41" t="inlineStr">
        <is>
          <t>58gr</t>
        </is>
      </c>
      <c r="C14" s="44" t="n">
        <v>1.39</v>
      </c>
      <c r="D14" s="42" t="n"/>
      <c r="E14" s="41" t="inlineStr">
        <is>
          <t>58gr</t>
        </is>
      </c>
      <c r="F14" s="41">
        <f>A14</f>
        <v/>
      </c>
      <c r="G14" s="42" t="n"/>
      <c r="H14" s="41" t="inlineStr">
        <is>
          <t>58gr</t>
        </is>
      </c>
      <c r="I14" s="41" t="inlineStr">
        <is>
          <t>Sqft</t>
        </is>
      </c>
    </row>
    <row r="15" ht="21.25" customFormat="1" customHeight="1" s="39">
      <c r="A15" s="40" t="inlineStr">
        <is>
          <t>1/2” DiamondBacker</t>
        </is>
      </c>
      <c r="B15" s="41" t="inlineStr">
        <is>
          <t>12db</t>
        </is>
      </c>
      <c r="C15" s="44" t="n">
        <v>2.22</v>
      </c>
      <c r="D15" s="42" t="n"/>
      <c r="E15" s="41" t="inlineStr">
        <is>
          <t>12db</t>
        </is>
      </c>
      <c r="F15" s="41">
        <f>A15</f>
        <v/>
      </c>
      <c r="G15" s="42" t="n"/>
      <c r="H15" s="41" t="inlineStr">
        <is>
          <t>12db</t>
        </is>
      </c>
      <c r="I15" s="41" t="inlineStr">
        <is>
          <t>Sqft</t>
        </is>
      </c>
    </row>
    <row r="16" ht="21.25" customFormat="1" customHeight="1" s="39">
      <c r="A16" s="40" t="inlineStr">
        <is>
          <t>5/8” DiamondBacker</t>
        </is>
      </c>
      <c r="B16" s="41" t="inlineStr">
        <is>
          <t>58db</t>
        </is>
      </c>
      <c r="C16" s="44" t="n">
        <v>2.71</v>
      </c>
      <c r="D16" s="42" t="n"/>
      <c r="E16" s="41" t="inlineStr">
        <is>
          <t>58db</t>
        </is>
      </c>
      <c r="F16" s="41">
        <f>A16</f>
        <v/>
      </c>
      <c r="G16" s="42" t="n"/>
      <c r="H16" s="41" t="inlineStr">
        <is>
          <t>58db</t>
        </is>
      </c>
      <c r="I16" s="41" t="inlineStr">
        <is>
          <t>Sqft</t>
        </is>
      </c>
    </row>
    <row r="17" ht="21.25" customFormat="1" customHeight="1" s="39">
      <c r="A17" s="40" t="inlineStr">
        <is>
          <t>1” GlassRoc ShaftLiner</t>
        </is>
      </c>
      <c r="B17" s="41" t="inlineStr">
        <is>
          <t>1grsl</t>
        </is>
      </c>
      <c r="C17" s="44" t="n">
        <v>2.17</v>
      </c>
      <c r="D17" s="42" t="n"/>
      <c r="E17" s="41" t="inlineStr">
        <is>
          <t>1grsl</t>
        </is>
      </c>
      <c r="F17" s="41">
        <f>A17</f>
        <v/>
      </c>
      <c r="G17" s="42" t="n"/>
      <c r="H17" s="41" t="inlineStr">
        <is>
          <t>1grsl</t>
        </is>
      </c>
      <c r="I17" s="41" t="inlineStr">
        <is>
          <t>Sqft</t>
        </is>
      </c>
    </row>
    <row r="18" ht="21.25" customFormat="1" customHeight="1" s="39">
      <c r="A18" s="40" t="inlineStr">
        <is>
          <t>1” M2 Tech Shaftliner</t>
        </is>
      </c>
      <c r="B18" s="41" t="inlineStr">
        <is>
          <t>1m2sl</t>
        </is>
      </c>
      <c r="C18" s="42" t="n">
        <v>1.89</v>
      </c>
      <c r="D18" s="42" t="n"/>
      <c r="E18" s="41" t="inlineStr">
        <is>
          <t>1m2sl</t>
        </is>
      </c>
      <c r="F18" s="41">
        <f>A18</f>
        <v/>
      </c>
      <c r="G18" s="41" t="n"/>
      <c r="H18" s="41" t="inlineStr">
        <is>
          <t>1m2sl</t>
        </is>
      </c>
      <c r="I18" s="41" t="inlineStr">
        <is>
          <t>Sqft</t>
        </is>
      </c>
    </row>
    <row r="19" ht="21.25" customFormat="1" customHeight="1" s="39">
      <c r="A19" s="40" t="inlineStr">
        <is>
          <t>1/2” Durock Tile Backer</t>
        </is>
      </c>
      <c r="B19" s="41" t="inlineStr">
        <is>
          <t>12dr</t>
        </is>
      </c>
      <c r="C19" s="42" t="n">
        <v>2.25</v>
      </c>
      <c r="D19" s="42" t="n"/>
      <c r="E19" s="41" t="inlineStr">
        <is>
          <t>12dr</t>
        </is>
      </c>
      <c r="F19" s="41">
        <f>A19</f>
        <v/>
      </c>
      <c r="G19" s="41" t="n"/>
      <c r="H19" s="41" t="inlineStr">
        <is>
          <t>12dr</t>
        </is>
      </c>
      <c r="I19" s="41" t="inlineStr">
        <is>
          <t>Sqft</t>
        </is>
      </c>
    </row>
    <row r="20" ht="21.25" customFormat="1" customHeight="1" s="39">
      <c r="A20" s="40" t="inlineStr">
        <is>
          <t>5/8” Durock Tile Backer</t>
        </is>
      </c>
      <c r="B20" s="41" t="inlineStr">
        <is>
          <t>58dr</t>
        </is>
      </c>
      <c r="C20" s="42" t="n">
        <v>2.761</v>
      </c>
      <c r="D20" s="42" t="n"/>
      <c r="E20" s="41" t="inlineStr">
        <is>
          <t>58dr</t>
        </is>
      </c>
      <c r="F20" s="41">
        <f>A20</f>
        <v/>
      </c>
      <c r="G20" s="41" t="n"/>
      <c r="H20" s="41" t="inlineStr">
        <is>
          <t>58dr</t>
        </is>
      </c>
      <c r="I20" s="41" t="inlineStr">
        <is>
          <t>Sqft</t>
        </is>
      </c>
    </row>
    <row r="21" ht="21.25" customFormat="1" customHeight="1" s="39">
      <c r="A21" s="40" t="inlineStr">
        <is>
          <t>3/4" Plywood</t>
        </is>
      </c>
      <c r="B21" s="41" t="inlineStr">
        <is>
          <t>34pw</t>
        </is>
      </c>
      <c r="C21" s="42" t="n">
        <v>4</v>
      </c>
      <c r="D21" s="42" t="n"/>
      <c r="E21" s="41" t="inlineStr">
        <is>
          <t>34pw</t>
        </is>
      </c>
      <c r="F21" s="41">
        <f>A21</f>
        <v/>
      </c>
      <c r="G21" s="41" t="n"/>
      <c r="H21" s="41" t="inlineStr">
        <is>
          <t>34pw</t>
        </is>
      </c>
      <c r="I21" s="41" t="inlineStr">
        <is>
          <t>Sqft</t>
        </is>
      </c>
    </row>
    <row r="22" ht="21.25" customFormat="1" customHeight="1" s="39">
      <c r="A22" s="40" t="inlineStr">
        <is>
          <t>5/8" Plywood</t>
        </is>
      </c>
      <c r="B22" s="41" t="inlineStr">
        <is>
          <t>58pw</t>
        </is>
      </c>
      <c r="C22" s="42" t="n">
        <v>3.5</v>
      </c>
      <c r="D22" s="42" t="n"/>
      <c r="E22" s="41" t="inlineStr">
        <is>
          <t>58pw</t>
        </is>
      </c>
      <c r="F22" s="41">
        <f>A22</f>
        <v/>
      </c>
      <c r="G22" s="41" t="n"/>
      <c r="H22" s="41" t="inlineStr">
        <is>
          <t>58pw</t>
        </is>
      </c>
      <c r="I22" s="41" t="inlineStr">
        <is>
          <t>Sqft</t>
        </is>
      </c>
    </row>
    <row r="23" ht="21.25" customFormat="1" customHeight="1" s="39">
      <c r="A23" s="40" t="inlineStr">
        <is>
          <t>1/2" Fire Rated Plywood</t>
        </is>
      </c>
      <c r="B23" s="41" t="inlineStr">
        <is>
          <t>12pw</t>
        </is>
      </c>
      <c r="C23" s="42" t="n">
        <v>3</v>
      </c>
      <c r="D23" s="42" t="n"/>
      <c r="E23" s="41" t="inlineStr">
        <is>
          <t>12pw</t>
        </is>
      </c>
      <c r="F23" s="41">
        <f>A23</f>
        <v/>
      </c>
      <c r="G23" s="41" t="n"/>
      <c r="H23" s="41" t="inlineStr">
        <is>
          <t>12pw</t>
        </is>
      </c>
      <c r="I23" s="41" t="inlineStr">
        <is>
          <t>Sqft</t>
        </is>
      </c>
    </row>
    <row r="24" ht="21.25" customFormat="1" customHeight="1" s="39">
      <c r="A24" s="40" t="inlineStr">
        <is>
          <t>QuietRock 550</t>
        </is>
      </c>
      <c r="B24" s="41" t="inlineStr">
        <is>
          <t>qt530</t>
        </is>
      </c>
      <c r="C24" s="44" t="inlineStr">
        <is>
          <t>?</t>
        </is>
      </c>
      <c r="D24" s="42" t="n"/>
      <c r="E24" s="41" t="inlineStr">
        <is>
          <t>qt530</t>
        </is>
      </c>
      <c r="F24" s="41">
        <f>A24</f>
        <v/>
      </c>
      <c r="G24" s="42" t="n"/>
      <c r="H24" s="41" t="inlineStr">
        <is>
          <t>qt530</t>
        </is>
      </c>
      <c r="I24" s="41" t="inlineStr">
        <is>
          <t>Sqft</t>
        </is>
      </c>
    </row>
    <row r="25" ht="21.25" customFormat="1" customHeight="1" s="39">
      <c r="A25" s="40" t="inlineStr">
        <is>
          <t>1/2" QuietRock 510</t>
        </is>
      </c>
      <c r="B25" s="41" t="inlineStr">
        <is>
          <t>12qt</t>
        </is>
      </c>
      <c r="C25" s="44" t="inlineStr">
        <is>
          <t>?</t>
        </is>
      </c>
      <c r="D25" s="42" t="n"/>
      <c r="E25" s="41" t="inlineStr">
        <is>
          <t>12qt</t>
        </is>
      </c>
      <c r="F25" s="41">
        <f>A25</f>
        <v/>
      </c>
      <c r="G25" s="42" t="n"/>
      <c r="H25" s="41" t="inlineStr">
        <is>
          <t>12qt</t>
        </is>
      </c>
      <c r="I25" s="41" t="inlineStr">
        <is>
          <t>Sqft</t>
        </is>
      </c>
    </row>
    <row r="26" ht="21.25" customFormat="1" customHeight="1" s="39">
      <c r="A26" s="40" t="inlineStr">
        <is>
          <t>1/2" QuietRock MR 510</t>
        </is>
      </c>
      <c r="B26" s="41" t="inlineStr">
        <is>
          <t>12qtmr</t>
        </is>
      </c>
      <c r="C26" s="44" t="inlineStr">
        <is>
          <t>?</t>
        </is>
      </c>
      <c r="D26" s="42" t="n"/>
      <c r="E26" s="41" t="inlineStr">
        <is>
          <t>12qtmr</t>
        </is>
      </c>
      <c r="F26" s="41">
        <f>A26</f>
        <v/>
      </c>
      <c r="G26" s="42" t="n"/>
      <c r="H26" s="41" t="inlineStr">
        <is>
          <t>12qtmr</t>
        </is>
      </c>
      <c r="I26" s="41" t="inlineStr">
        <is>
          <t>Sqft</t>
        </is>
      </c>
    </row>
    <row r="27" ht="21.25" customFormat="1" customHeight="1" s="39">
      <c r="A27" s="40" t="inlineStr">
        <is>
          <t>5/8" QuietRock EZ Snap</t>
        </is>
      </c>
      <c r="B27" s="41" t="inlineStr">
        <is>
          <t>58qt</t>
        </is>
      </c>
      <c r="C27" s="44" t="inlineStr">
        <is>
          <t>?</t>
        </is>
      </c>
      <c r="D27" s="42" t="n"/>
      <c r="E27" s="41" t="inlineStr">
        <is>
          <t>58qt</t>
        </is>
      </c>
      <c r="F27" s="41">
        <f>A27</f>
        <v/>
      </c>
      <c r="G27" s="42" t="n"/>
      <c r="H27" s="41" t="inlineStr">
        <is>
          <t>58qt</t>
        </is>
      </c>
      <c r="I27" s="41" t="inlineStr">
        <is>
          <t>Sqft</t>
        </is>
      </c>
    </row>
    <row r="28" ht="21.25" customFormat="1" customHeight="1" s="39">
      <c r="A28" s="40" t="inlineStr">
        <is>
          <t>5/8" QuietRock MR EZ Snap</t>
        </is>
      </c>
      <c r="B28" s="41" t="inlineStr">
        <is>
          <t>58qtmr</t>
        </is>
      </c>
      <c r="C28" s="44" t="inlineStr">
        <is>
          <t>?</t>
        </is>
      </c>
      <c r="D28" s="42" t="n"/>
      <c r="E28" s="41" t="inlineStr">
        <is>
          <t>58qtmr</t>
        </is>
      </c>
      <c r="F28" s="41">
        <f>A28</f>
        <v/>
      </c>
      <c r="G28" s="42" t="n"/>
      <c r="H28" s="41" t="inlineStr">
        <is>
          <t>58qtmr</t>
        </is>
      </c>
      <c r="I28" s="41" t="inlineStr">
        <is>
          <t>Sqft</t>
        </is>
      </c>
    </row>
    <row r="29" ht="21.25" customFormat="1" customHeight="1" s="39">
      <c r="A29" s="40" t="inlineStr">
        <is>
          <t>1/2" Abuse Resistant</t>
        </is>
      </c>
      <c r="B29" s="41" t="inlineStr">
        <is>
          <t>12ar</t>
        </is>
      </c>
      <c r="C29" s="44" t="inlineStr">
        <is>
          <t>?</t>
        </is>
      </c>
      <c r="D29" s="42" t="n"/>
      <c r="E29" s="41" t="inlineStr">
        <is>
          <t>12ar</t>
        </is>
      </c>
      <c r="F29" s="41">
        <f>A29</f>
        <v/>
      </c>
      <c r="G29" s="42" t="n"/>
      <c r="H29" s="41" t="inlineStr">
        <is>
          <t>12ar</t>
        </is>
      </c>
      <c r="I29" s="41" t="inlineStr">
        <is>
          <t>Sqft</t>
        </is>
      </c>
    </row>
    <row r="30" ht="21.25" customFormat="1" customHeight="1" s="39">
      <c r="A30" s="40" t="inlineStr">
        <is>
          <t>5/8" Abuse Resistant - Type X</t>
        </is>
      </c>
      <c r="B30" s="41" t="inlineStr">
        <is>
          <t>58ar</t>
        </is>
      </c>
      <c r="C30" s="44" t="inlineStr">
        <is>
          <t>?</t>
        </is>
      </c>
      <c r="D30" s="42" t="n"/>
      <c r="E30" s="41" t="inlineStr">
        <is>
          <t>58ar</t>
        </is>
      </c>
      <c r="F30" s="41">
        <f>A30</f>
        <v/>
      </c>
      <c r="G30" s="42" t="n"/>
      <c r="H30" s="41" t="inlineStr">
        <is>
          <t>58ar</t>
        </is>
      </c>
      <c r="I30" s="41" t="inlineStr">
        <is>
          <t>Sqft</t>
        </is>
      </c>
    </row>
    <row r="31" ht="21.25" customFormat="1" customHeight="1" s="39">
      <c r="A31" s="40" t="n"/>
      <c r="B31" s="41" t="n"/>
      <c r="C31" s="44" t="n"/>
      <c r="D31" s="42" t="n"/>
      <c r="E31" s="41" t="n"/>
      <c r="F31" s="41">
        <f>A31</f>
        <v/>
      </c>
      <c r="G31" s="42" t="n"/>
      <c r="H31" s="41" t="n"/>
      <c r="I31" s="41" t="inlineStr">
        <is>
          <t>Sqft</t>
        </is>
      </c>
    </row>
    <row r="32" ht="21.75" customFormat="1" customHeight="1" s="39">
      <c r="A32" s="40" t="inlineStr">
        <is>
          <t xml:space="preserve">R8 Insulation </t>
        </is>
      </c>
      <c r="B32" s="41" t="inlineStr">
        <is>
          <t>r8</t>
        </is>
      </c>
      <c r="C32" s="44" t="n">
        <v>0.275</v>
      </c>
      <c r="D32" s="42" t="n"/>
      <c r="E32" s="41" t="inlineStr">
        <is>
          <t>r8</t>
        </is>
      </c>
      <c r="F32" s="41">
        <f>A32</f>
        <v/>
      </c>
      <c r="G32" s="42" t="n"/>
      <c r="H32" s="41" t="inlineStr">
        <is>
          <t>r8</t>
        </is>
      </c>
      <c r="I32" s="41" t="inlineStr">
        <is>
          <t>Sqft</t>
        </is>
      </c>
    </row>
    <row r="33" ht="21.25" customFormat="1" customHeight="1" s="39">
      <c r="A33" s="40" t="inlineStr">
        <is>
          <t xml:space="preserve">R12 Insulation </t>
        </is>
      </c>
      <c r="B33" s="41" t="inlineStr">
        <is>
          <t>r12</t>
        </is>
      </c>
      <c r="C33" s="44" t="n">
        <v>0.44</v>
      </c>
      <c r="D33" s="42" t="n"/>
      <c r="E33" s="41" t="inlineStr">
        <is>
          <t>r12</t>
        </is>
      </c>
      <c r="F33" s="41">
        <f>A33</f>
        <v/>
      </c>
      <c r="G33" s="42" t="n"/>
      <c r="H33" s="41" t="inlineStr">
        <is>
          <t>r12</t>
        </is>
      </c>
      <c r="I33" s="41" t="inlineStr">
        <is>
          <t>Sqft</t>
        </is>
      </c>
    </row>
    <row r="34" ht="21.25" customFormat="1" customHeight="1" s="39">
      <c r="A34" s="40" t="inlineStr">
        <is>
          <t xml:space="preserve">R20 Insulation </t>
        </is>
      </c>
      <c r="B34" s="41" t="inlineStr">
        <is>
          <t>r20</t>
        </is>
      </c>
      <c r="C34" s="44" t="n">
        <v>0.66</v>
      </c>
      <c r="D34" s="42" t="n"/>
      <c r="E34" s="41" t="inlineStr">
        <is>
          <t>r20</t>
        </is>
      </c>
      <c r="F34" s="41">
        <f>A34</f>
        <v/>
      </c>
      <c r="G34" s="42" t="n"/>
      <c r="H34" s="41" t="inlineStr">
        <is>
          <t>r20</t>
        </is>
      </c>
      <c r="I34" s="41" t="inlineStr">
        <is>
          <t>Sqft</t>
        </is>
      </c>
    </row>
    <row r="35" ht="21.25" customFormat="1" customHeight="1" s="39">
      <c r="A35" s="40" t="inlineStr">
        <is>
          <t>R12 QUIET ZONE</t>
        </is>
      </c>
      <c r="B35" s="41" t="inlineStr">
        <is>
          <t>R12QZ</t>
        </is>
      </c>
      <c r="C35" s="44" t="n">
        <v>0.44</v>
      </c>
      <c r="D35" s="42" t="n"/>
      <c r="E35" s="41" t="inlineStr">
        <is>
          <t>R12QZ</t>
        </is>
      </c>
      <c r="F35" s="41">
        <f>A35</f>
        <v/>
      </c>
      <c r="G35" s="42" t="n"/>
      <c r="H35" s="41" t="inlineStr">
        <is>
          <t>R12QZ</t>
        </is>
      </c>
      <c r="I35" s="41" t="inlineStr">
        <is>
          <t>Sqft</t>
        </is>
      </c>
    </row>
    <row r="36" ht="21.25" customFormat="1" customHeight="1" s="39">
      <c r="A36" s="40" t="inlineStr">
        <is>
          <t>R20 QUIET ZONE</t>
        </is>
      </c>
      <c r="B36" s="41" t="inlineStr">
        <is>
          <t>R20QZ</t>
        </is>
      </c>
      <c r="C36" s="44" t="n">
        <v>0.66</v>
      </c>
      <c r="D36" s="42" t="n"/>
      <c r="E36" s="41" t="inlineStr">
        <is>
          <t>R20QZ</t>
        </is>
      </c>
      <c r="F36" s="41">
        <f>A36</f>
        <v/>
      </c>
      <c r="G36" s="42" t="n"/>
      <c r="H36" s="41" t="inlineStr">
        <is>
          <t>R20QZ</t>
        </is>
      </c>
      <c r="I36" s="41" t="inlineStr">
        <is>
          <t>Sqft</t>
        </is>
      </c>
    </row>
    <row r="37" ht="21.25" customFormat="1" customHeight="1" s="39">
      <c r="A37" s="40" t="inlineStr">
        <is>
          <t xml:space="preserve">R28 Insulation </t>
        </is>
      </c>
      <c r="B37" s="41" t="inlineStr">
        <is>
          <t>r28</t>
        </is>
      </c>
      <c r="C37" s="44" t="n">
        <v>0.915</v>
      </c>
      <c r="D37" s="42" t="n"/>
      <c r="E37" s="41" t="inlineStr">
        <is>
          <t>r28</t>
        </is>
      </c>
      <c r="F37" s="41">
        <f>A37</f>
        <v/>
      </c>
      <c r="G37" s="42" t="n"/>
      <c r="H37" s="41" t="inlineStr">
        <is>
          <t>r28</t>
        </is>
      </c>
      <c r="I37" s="41" t="inlineStr">
        <is>
          <t>Sqft</t>
        </is>
      </c>
    </row>
    <row r="38" ht="21.25" customFormat="1" customHeight="1" s="39">
      <c r="A38" s="40" t="inlineStr">
        <is>
          <t xml:space="preserve">R35 Insulation </t>
        </is>
      </c>
      <c r="B38" s="41" t="inlineStr">
        <is>
          <t>r35</t>
        </is>
      </c>
      <c r="C38" s="44" t="inlineStr">
        <is>
          <t>?</t>
        </is>
      </c>
      <c r="D38" s="42" t="n"/>
      <c r="E38" s="41" t="inlineStr">
        <is>
          <t>r35</t>
        </is>
      </c>
      <c r="F38" s="41">
        <f>A38</f>
        <v/>
      </c>
      <c r="G38" s="42" t="n"/>
      <c r="H38" s="41" t="inlineStr">
        <is>
          <t>r35</t>
        </is>
      </c>
      <c r="I38" s="41" t="inlineStr">
        <is>
          <t>Sqft</t>
        </is>
      </c>
    </row>
    <row r="39" ht="21.25" customFormat="1" customHeight="1" s="39">
      <c r="A39" s="40" t="inlineStr">
        <is>
          <t xml:space="preserve">R40 Insulation </t>
        </is>
      </c>
      <c r="B39" s="41" t="inlineStr">
        <is>
          <t>r40</t>
        </is>
      </c>
      <c r="C39" s="44" t="n">
        <v>2.095</v>
      </c>
      <c r="D39" s="42" t="n"/>
      <c r="E39" s="41" t="inlineStr">
        <is>
          <t>r40</t>
        </is>
      </c>
      <c r="F39" s="41">
        <f>A39</f>
        <v/>
      </c>
      <c r="G39" s="42" t="n"/>
      <c r="H39" s="41" t="inlineStr">
        <is>
          <t>r40</t>
        </is>
      </c>
      <c r="I39" s="41" t="inlineStr">
        <is>
          <t>Sqft</t>
        </is>
      </c>
    </row>
    <row r="40" ht="21.25" customFormat="1" customHeight="1" s="39">
      <c r="A40" s="40" t="inlineStr">
        <is>
          <t>Roxul Comfort Batt R10</t>
        </is>
      </c>
      <c r="B40" s="41" t="inlineStr">
        <is>
          <t>R10</t>
        </is>
      </c>
      <c r="C40" s="44" t="inlineStr">
        <is>
          <t>?</t>
        </is>
      </c>
      <c r="D40" s="42" t="n"/>
      <c r="E40" s="41" t="inlineStr">
        <is>
          <t>R10</t>
        </is>
      </c>
      <c r="F40" s="41">
        <f>A40</f>
        <v/>
      </c>
      <c r="G40" s="42" t="n"/>
      <c r="H40" s="41" t="inlineStr">
        <is>
          <t>R10</t>
        </is>
      </c>
      <c r="I40" s="41" t="inlineStr">
        <is>
          <t>Sqft</t>
        </is>
      </c>
    </row>
    <row r="41" ht="21.25" customFormat="1" customHeight="1" s="39">
      <c r="A41" s="40" t="inlineStr">
        <is>
          <t>Roxul Comfort Batt R14</t>
        </is>
      </c>
      <c r="B41" s="41" t="inlineStr">
        <is>
          <t>R14</t>
        </is>
      </c>
      <c r="C41" s="44" t="inlineStr">
        <is>
          <t>?</t>
        </is>
      </c>
      <c r="D41" s="42" t="n"/>
      <c r="E41" s="41" t="inlineStr">
        <is>
          <t>R14</t>
        </is>
      </c>
      <c r="F41" s="41">
        <f>A41</f>
        <v/>
      </c>
      <c r="G41" s="42" t="n"/>
      <c r="H41" s="41" t="inlineStr">
        <is>
          <t>R14</t>
        </is>
      </c>
      <c r="I41" s="41" t="inlineStr">
        <is>
          <t>Sqft</t>
        </is>
      </c>
    </row>
    <row r="42" ht="21.25" customFormat="1" customHeight="1" s="39">
      <c r="A42" s="40" t="inlineStr">
        <is>
          <t>Roxul Comfort Batt R22</t>
        </is>
      </c>
      <c r="B42" s="41" t="inlineStr">
        <is>
          <t>R22</t>
        </is>
      </c>
      <c r="C42" s="44" t="inlineStr">
        <is>
          <t>?</t>
        </is>
      </c>
      <c r="D42" s="42" t="n"/>
      <c r="E42" s="41" t="inlineStr">
        <is>
          <t>R22</t>
        </is>
      </c>
      <c r="F42" s="41">
        <f>A42</f>
        <v/>
      </c>
      <c r="G42" s="42" t="n"/>
      <c r="H42" s="41" t="inlineStr">
        <is>
          <t>R22</t>
        </is>
      </c>
      <c r="I42" s="41" t="inlineStr">
        <is>
          <t>Sqft</t>
        </is>
      </c>
    </row>
    <row r="43" ht="21.25" customFormat="1" customHeight="1" s="39">
      <c r="A43" s="40" t="inlineStr">
        <is>
          <t>Roxul AFB 2 1/2"</t>
        </is>
      </c>
      <c r="B43" s="41" t="inlineStr">
        <is>
          <t>AFB25</t>
        </is>
      </c>
      <c r="C43" s="44" t="inlineStr">
        <is>
          <t>?</t>
        </is>
      </c>
      <c r="D43" s="42" t="n"/>
      <c r="E43" s="41" t="inlineStr">
        <is>
          <t>AFB25</t>
        </is>
      </c>
      <c r="F43" s="41">
        <f>A43</f>
        <v/>
      </c>
      <c r="G43" s="42" t="n"/>
      <c r="H43" s="41" t="inlineStr">
        <is>
          <t>AFB25</t>
        </is>
      </c>
      <c r="I43" s="41" t="inlineStr">
        <is>
          <t>Sqft</t>
        </is>
      </c>
    </row>
    <row r="44" ht="21.25" customFormat="1" customHeight="1" s="39">
      <c r="A44" s="40" t="inlineStr">
        <is>
          <t>Roxul AF 3 5/8"</t>
        </is>
      </c>
      <c r="B44" s="41" t="inlineStr">
        <is>
          <t>AFB35</t>
        </is>
      </c>
      <c r="C44" s="44" t="inlineStr">
        <is>
          <t>?</t>
        </is>
      </c>
      <c r="D44" s="42" t="n"/>
      <c r="E44" s="41" t="inlineStr">
        <is>
          <t>AFB35</t>
        </is>
      </c>
      <c r="F44" s="41">
        <f>A44</f>
        <v/>
      </c>
      <c r="G44" s="42" t="n"/>
      <c r="H44" s="41" t="inlineStr">
        <is>
          <t>AFB35</t>
        </is>
      </c>
      <c r="I44" s="41" t="inlineStr">
        <is>
          <t>Sqft</t>
        </is>
      </c>
    </row>
    <row r="45" ht="21.25" customFormat="1" customHeight="1" s="39">
      <c r="A45" s="40" t="inlineStr">
        <is>
          <t>Roxul AFB 6"</t>
        </is>
      </c>
      <c r="B45" s="41" t="inlineStr">
        <is>
          <t>AFB6</t>
        </is>
      </c>
      <c r="C45" s="44" t="inlineStr">
        <is>
          <t>?</t>
        </is>
      </c>
      <c r="D45" s="42" t="n"/>
      <c r="E45" s="41" t="inlineStr">
        <is>
          <t>AFB6</t>
        </is>
      </c>
      <c r="F45" s="41">
        <f>A45</f>
        <v/>
      </c>
      <c r="G45" s="42" t="n"/>
      <c r="H45" s="41" t="inlineStr">
        <is>
          <t>AFB6</t>
        </is>
      </c>
      <c r="I45" s="41" t="inlineStr">
        <is>
          <t>Sqft</t>
        </is>
      </c>
    </row>
    <row r="46" ht="21.25" customFormat="1" customHeight="1" s="39">
      <c r="A46" s="40" t="n"/>
      <c r="B46" s="41" t="n"/>
      <c r="C46" s="44" t="n"/>
      <c r="D46" s="42" t="n"/>
      <c r="E46" s="41" t="n"/>
      <c r="F46" s="41">
        <f>A46</f>
        <v/>
      </c>
      <c r="G46" s="42" t="n"/>
      <c r="H46" s="41" t="n"/>
      <c r="I46" s="41" t="inlineStr">
        <is>
          <t>Sqft</t>
        </is>
      </c>
    </row>
    <row r="47" ht="21.25" customFormat="1" customHeight="1" s="39">
      <c r="A47" s="40" t="inlineStr">
        <is>
          <t>6 Mil Poly</t>
        </is>
      </c>
      <c r="B47" s="41" t="inlineStr">
        <is>
          <t>6mil</t>
        </is>
      </c>
      <c r="C47" s="42" t="n">
        <v>0.07000000000000001</v>
      </c>
      <c r="D47" s="42" t="n"/>
      <c r="E47" s="41" t="inlineStr">
        <is>
          <t>6mil</t>
        </is>
      </c>
      <c r="F47" s="41">
        <f>A47</f>
        <v/>
      </c>
      <c r="G47" s="42" t="n"/>
      <c r="H47" s="41" t="inlineStr">
        <is>
          <t>6mil</t>
        </is>
      </c>
      <c r="I47" s="41" t="inlineStr">
        <is>
          <t>Sqft</t>
        </is>
      </c>
    </row>
    <row r="48" ht="21.25" customFormat="1" customHeight="1" s="39">
      <c r="A48" s="40" t="inlineStr">
        <is>
          <t>Light Weight Poly</t>
        </is>
      </c>
      <c r="B48" s="41" t="inlineStr">
        <is>
          <t>lwp</t>
        </is>
      </c>
      <c r="C48" s="42" t="n">
        <v>15.74</v>
      </c>
      <c r="D48" s="42" t="n"/>
      <c r="E48" s="41" t="inlineStr">
        <is>
          <t>lwp</t>
        </is>
      </c>
      <c r="F48" s="41">
        <f>A48</f>
        <v/>
      </c>
      <c r="G48" s="42" t="n"/>
      <c r="H48" s="41" t="inlineStr">
        <is>
          <t>lwp</t>
        </is>
      </c>
      <c r="I48" s="41" t="inlineStr">
        <is>
          <t>Sqft</t>
        </is>
      </c>
    </row>
    <row r="49" ht="21.25" customFormat="1" customHeight="1" s="39">
      <c r="A49" s="40" t="inlineStr">
        <is>
          <t>1 1/2” TYPE 4 RIGID</t>
        </is>
      </c>
      <c r="B49" s="41" t="inlineStr">
        <is>
          <t>15T4R</t>
        </is>
      </c>
      <c r="C49" s="42" t="n">
        <v>1.22115</v>
      </c>
      <c r="D49" s="42" t="n"/>
      <c r="E49" s="41" t="inlineStr">
        <is>
          <t>15T4R</t>
        </is>
      </c>
      <c r="F49" s="41">
        <f>A49</f>
        <v/>
      </c>
      <c r="G49" s="42" t="n"/>
      <c r="H49" s="41" t="inlineStr">
        <is>
          <t>15T4R</t>
        </is>
      </c>
      <c r="I49" s="41" t="inlineStr">
        <is>
          <t>Sqft</t>
        </is>
      </c>
    </row>
    <row r="50" ht="21.25" customFormat="1" customHeight="1" s="39">
      <c r="A50" s="40" t="inlineStr">
        <is>
          <t>2" Foil Back Insulation</t>
        </is>
      </c>
      <c r="B50" s="41" t="inlineStr">
        <is>
          <t>2fb</t>
        </is>
      </c>
      <c r="C50" s="42" t="n">
        <v>3.8594</v>
      </c>
      <c r="D50" s="42" t="n"/>
      <c r="E50" s="41" t="inlineStr">
        <is>
          <t>2fb</t>
        </is>
      </c>
      <c r="F50" s="41">
        <f>A50</f>
        <v/>
      </c>
      <c r="G50" s="42" t="n"/>
      <c r="H50" s="41" t="inlineStr">
        <is>
          <t>2fb</t>
        </is>
      </c>
      <c r="I50" s="41" t="inlineStr">
        <is>
          <t>Sqft</t>
        </is>
      </c>
    </row>
    <row r="51" ht="21.25" customFormat="1" customHeight="1" s="39">
      <c r="A51" s="40" t="n"/>
      <c r="B51" s="41" t="n"/>
      <c r="C51" s="44" t="n"/>
      <c r="D51" s="42" t="n"/>
      <c r="E51" s="41" t="n"/>
      <c r="F51" s="41">
        <f>A51</f>
        <v/>
      </c>
      <c r="G51" s="42" t="n"/>
      <c r="H51" s="41" t="n"/>
      <c r="I51" s="41" t="n"/>
    </row>
    <row r="52" ht="21.25" customFormat="1" customHeight="1" s="39">
      <c r="A52" s="40" t="inlineStr">
        <is>
          <t>25 Ga 1 5/8” Stud</t>
        </is>
      </c>
      <c r="B52" s="41" t="inlineStr">
        <is>
          <t>251s</t>
        </is>
      </c>
      <c r="C52" s="44" t="n">
        <v>0.525</v>
      </c>
      <c r="D52" s="42" t="n"/>
      <c r="E52" s="41" t="inlineStr">
        <is>
          <t>251s</t>
        </is>
      </c>
      <c r="F52" s="41">
        <f>A52</f>
        <v/>
      </c>
      <c r="G52" s="42" t="n"/>
      <c r="H52" s="41" t="inlineStr">
        <is>
          <t>251s</t>
        </is>
      </c>
      <c r="I52" s="41" t="inlineStr">
        <is>
          <t>Lnft</t>
        </is>
      </c>
    </row>
    <row r="53" ht="21.25" customFormat="1" customHeight="1" s="39">
      <c r="A53" s="40" t="inlineStr">
        <is>
          <t>25 Ga 1 5/8” Track</t>
        </is>
      </c>
      <c r="B53" s="41" t="inlineStr">
        <is>
          <t>251t</t>
        </is>
      </c>
      <c r="C53" s="44" t="n">
        <v>0.465</v>
      </c>
      <c r="D53" s="42" t="n"/>
      <c r="E53" s="41" t="inlineStr">
        <is>
          <t>251t</t>
        </is>
      </c>
      <c r="F53" s="41">
        <f>A53</f>
        <v/>
      </c>
      <c r="G53" s="42" t="n"/>
      <c r="H53" s="41" t="inlineStr">
        <is>
          <t>251t</t>
        </is>
      </c>
      <c r="I53" s="41" t="inlineStr">
        <is>
          <t>Lnft</t>
        </is>
      </c>
    </row>
    <row r="54" ht="21.25" customFormat="1" customHeight="1" s="39">
      <c r="A54" s="40" t="inlineStr">
        <is>
          <t>25 Ga 1 5/8” Deep Tack</t>
        </is>
      </c>
      <c r="B54" s="41" t="inlineStr">
        <is>
          <t>251dt</t>
        </is>
      </c>
      <c r="C54" s="44" t="n">
        <v>0.675</v>
      </c>
      <c r="D54" s="42" t="n"/>
      <c r="E54" s="41" t="inlineStr">
        <is>
          <t>251dt</t>
        </is>
      </c>
      <c r="F54" s="41">
        <f>A54</f>
        <v/>
      </c>
      <c r="G54" s="42" t="n"/>
      <c r="H54" s="41" t="inlineStr">
        <is>
          <t>251dt</t>
        </is>
      </c>
      <c r="I54" s="41" t="inlineStr">
        <is>
          <t>Lnft</t>
        </is>
      </c>
    </row>
    <row r="55" ht="21.25" customFormat="1" customHeight="1" s="39">
      <c r="A55" s="40" t="inlineStr">
        <is>
          <t>25 Ga 2 1/2” Stud</t>
        </is>
      </c>
      <c r="B55" s="41" t="inlineStr">
        <is>
          <t>252s</t>
        </is>
      </c>
      <c r="C55" s="44" t="n">
        <v>0.6</v>
      </c>
      <c r="D55" s="42" t="n"/>
      <c r="E55" s="41" t="inlineStr">
        <is>
          <t>252s</t>
        </is>
      </c>
      <c r="F55" s="41">
        <f>A55</f>
        <v/>
      </c>
      <c r="G55" s="42" t="n"/>
      <c r="H55" s="41" t="inlineStr">
        <is>
          <t>252s</t>
        </is>
      </c>
      <c r="I55" s="41" t="inlineStr">
        <is>
          <t>Lnft</t>
        </is>
      </c>
    </row>
    <row r="56" ht="21.25" customFormat="1" customHeight="1" s="39">
      <c r="A56" s="40" t="inlineStr">
        <is>
          <t>25 Ga 2 1/2” Track</t>
        </is>
      </c>
      <c r="B56" s="41" t="inlineStr">
        <is>
          <t>252t</t>
        </is>
      </c>
      <c r="C56" s="44" t="n">
        <v>0.535</v>
      </c>
      <c r="D56" s="42" t="n"/>
      <c r="E56" s="41" t="inlineStr">
        <is>
          <t>252t</t>
        </is>
      </c>
      <c r="F56" s="41">
        <f>A56</f>
        <v/>
      </c>
      <c r="G56" s="42" t="n"/>
      <c r="H56" s="41" t="inlineStr">
        <is>
          <t>252t</t>
        </is>
      </c>
      <c r="I56" s="41" t="inlineStr">
        <is>
          <t>Lnft</t>
        </is>
      </c>
    </row>
    <row r="57" ht="21.25" customFormat="1" customHeight="1" s="39">
      <c r="A57" s="40" t="inlineStr">
        <is>
          <t>25 Ga 2 1/2” Deep Track</t>
        </is>
      </c>
      <c r="B57" s="41" t="inlineStr">
        <is>
          <t>252dt</t>
        </is>
      </c>
      <c r="C57" s="44" t="n">
        <v>0.745</v>
      </c>
      <c r="D57" s="42" t="n"/>
      <c r="E57" s="41" t="inlineStr">
        <is>
          <t>252dt</t>
        </is>
      </c>
      <c r="F57" s="41">
        <f>A57</f>
        <v/>
      </c>
      <c r="G57" s="42" t="n"/>
      <c r="H57" s="41" t="inlineStr">
        <is>
          <t>252dt</t>
        </is>
      </c>
      <c r="I57" s="41" t="inlineStr">
        <is>
          <t>Lnft</t>
        </is>
      </c>
    </row>
    <row r="58" ht="21.25" customFormat="1" customHeight="1" s="39">
      <c r="A58" s="40" t="inlineStr">
        <is>
          <t>25 Ga 2 1/2" Slotted Track</t>
        </is>
      </c>
      <c r="B58" s="41" t="inlineStr">
        <is>
          <t>252st</t>
        </is>
      </c>
      <c r="C58" s="44" t="n">
        <v>1.175</v>
      </c>
      <c r="D58" s="42" t="n"/>
      <c r="E58" s="41" t="inlineStr">
        <is>
          <t>252st</t>
        </is>
      </c>
      <c r="F58" s="41">
        <f>A58</f>
        <v/>
      </c>
      <c r="G58" s="42" t="n"/>
      <c r="H58" s="41" t="inlineStr">
        <is>
          <t>252st</t>
        </is>
      </c>
      <c r="I58" s="41" t="inlineStr">
        <is>
          <t>Lnft</t>
        </is>
      </c>
    </row>
    <row r="59" ht="21.25" customFormat="1" customHeight="1" s="39">
      <c r="A59" s="40" t="inlineStr">
        <is>
          <t>25 Ga 3 5/8” Stud</t>
        </is>
      </c>
      <c r="B59" s="41" t="inlineStr">
        <is>
          <t>253s</t>
        </is>
      </c>
      <c r="C59" s="44" t="n">
        <v>0.675</v>
      </c>
      <c r="D59" s="42" t="n"/>
      <c r="E59" s="41" t="inlineStr">
        <is>
          <t>253s</t>
        </is>
      </c>
      <c r="F59" s="41">
        <f>A59</f>
        <v/>
      </c>
      <c r="G59" s="42" t="n"/>
      <c r="H59" s="41" t="inlineStr">
        <is>
          <t>253s</t>
        </is>
      </c>
      <c r="I59" s="41" t="inlineStr">
        <is>
          <t>Lnft</t>
        </is>
      </c>
    </row>
    <row r="60" ht="21.25" customFormat="1" customHeight="1" s="39">
      <c r="A60" s="40" t="inlineStr">
        <is>
          <t>25 Ga 3 5/8” Track</t>
        </is>
      </c>
      <c r="B60" s="41" t="inlineStr">
        <is>
          <t>253t</t>
        </is>
      </c>
      <c r="C60" s="44" t="n">
        <v>0.63</v>
      </c>
      <c r="D60" s="42" t="n"/>
      <c r="E60" s="41" t="inlineStr">
        <is>
          <t>253t</t>
        </is>
      </c>
      <c r="F60" s="41">
        <f>A60</f>
        <v/>
      </c>
      <c r="G60" s="42" t="n"/>
      <c r="H60" s="41" t="inlineStr">
        <is>
          <t>253t</t>
        </is>
      </c>
      <c r="I60" s="41" t="inlineStr">
        <is>
          <t>Lnft</t>
        </is>
      </c>
    </row>
    <row r="61" ht="21.25" customFormat="1" customHeight="1" s="39">
      <c r="A61" s="40" t="inlineStr">
        <is>
          <t>25 Ga 3 5/8” Deep Track</t>
        </is>
      </c>
      <c r="B61" s="41" t="inlineStr">
        <is>
          <t>253dt</t>
        </is>
      </c>
      <c r="C61" s="44" t="n">
        <v>0.85</v>
      </c>
      <c r="D61" s="42" t="n"/>
      <c r="E61" s="41" t="inlineStr">
        <is>
          <t>253dt</t>
        </is>
      </c>
      <c r="F61" s="41">
        <f>A61</f>
        <v/>
      </c>
      <c r="G61" s="42" t="n"/>
      <c r="H61" s="41" t="inlineStr">
        <is>
          <t>253dt</t>
        </is>
      </c>
      <c r="I61" s="41" t="inlineStr">
        <is>
          <t>Lnft</t>
        </is>
      </c>
    </row>
    <row r="62" ht="21.25" customFormat="1" customHeight="1" s="39">
      <c r="A62" s="40" t="inlineStr">
        <is>
          <t>25 Ga 3 5/8" Slotted Track</t>
        </is>
      </c>
      <c r="B62" s="41" t="inlineStr">
        <is>
          <t>253st</t>
        </is>
      </c>
      <c r="C62" s="44" t="n">
        <v>1.875</v>
      </c>
      <c r="D62" s="42" t="n"/>
      <c r="E62" s="41" t="inlineStr">
        <is>
          <t>253st</t>
        </is>
      </c>
      <c r="F62" s="41">
        <f>A62</f>
        <v/>
      </c>
      <c r="G62" s="42" t="n"/>
      <c r="H62" s="41" t="inlineStr">
        <is>
          <t>253st</t>
        </is>
      </c>
      <c r="I62" s="41" t="inlineStr">
        <is>
          <t>Lnft</t>
        </is>
      </c>
    </row>
    <row r="63" ht="21.25" customFormat="1" customHeight="1" s="39">
      <c r="A63" s="40" t="inlineStr">
        <is>
          <t>25 Ga 6" Stud</t>
        </is>
      </c>
      <c r="B63" s="41" t="inlineStr">
        <is>
          <t>256s</t>
        </is>
      </c>
      <c r="C63" s="44" t="n">
        <v>0.96</v>
      </c>
      <c r="D63" s="42" t="n"/>
      <c r="E63" s="41" t="inlineStr">
        <is>
          <t>256s</t>
        </is>
      </c>
      <c r="F63" s="41">
        <f>A63</f>
        <v/>
      </c>
      <c r="G63" s="42" t="n"/>
      <c r="H63" s="41" t="inlineStr">
        <is>
          <t>256s</t>
        </is>
      </c>
      <c r="I63" s="41" t="inlineStr">
        <is>
          <t>Lnft</t>
        </is>
      </c>
    </row>
    <row r="64" ht="21.25" customFormat="1" customHeight="1" s="39">
      <c r="A64" s="40" t="inlineStr">
        <is>
          <t>25 Ga 6” Track</t>
        </is>
      </c>
      <c r="B64" s="41" t="inlineStr">
        <is>
          <t>256t</t>
        </is>
      </c>
      <c r="C64" s="44" t="n">
        <v>0.875</v>
      </c>
      <c r="D64" s="42" t="n"/>
      <c r="E64" s="41" t="inlineStr">
        <is>
          <t>256t</t>
        </is>
      </c>
      <c r="F64" s="41">
        <f>A64</f>
        <v/>
      </c>
      <c r="G64" s="42" t="n"/>
      <c r="H64" s="41" t="inlineStr">
        <is>
          <t>256t</t>
        </is>
      </c>
      <c r="I64" s="41" t="inlineStr">
        <is>
          <t>Lnft</t>
        </is>
      </c>
    </row>
    <row r="65" ht="21.25" customFormat="1" customHeight="1" s="39">
      <c r="A65" s="40" t="inlineStr">
        <is>
          <t>25 Ga 6” Deep Track</t>
        </is>
      </c>
      <c r="B65" s="41" t="inlineStr">
        <is>
          <t>256dt</t>
        </is>
      </c>
      <c r="C65" s="44" t="n">
        <v>1.06</v>
      </c>
      <c r="D65" s="42" t="n"/>
      <c r="E65" s="41" t="inlineStr">
        <is>
          <t>256dt</t>
        </is>
      </c>
      <c r="F65" s="41">
        <f>A65</f>
        <v/>
      </c>
      <c r="G65" s="42" t="n"/>
      <c r="H65" s="41" t="inlineStr">
        <is>
          <t>256dt</t>
        </is>
      </c>
      <c r="I65" s="41" t="inlineStr">
        <is>
          <t>Lnft</t>
        </is>
      </c>
    </row>
    <row r="66" ht="21.25" customFormat="1" customHeight="1" s="39">
      <c r="A66" s="40" t="inlineStr">
        <is>
          <t>25 Ga 6” Slotted Track</t>
        </is>
      </c>
      <c r="B66" s="41" t="inlineStr">
        <is>
          <t>256st</t>
        </is>
      </c>
      <c r="C66" s="44" t="n">
        <v>2.05</v>
      </c>
      <c r="D66" s="42" t="n"/>
      <c r="E66" s="41" t="inlineStr">
        <is>
          <t>256st</t>
        </is>
      </c>
      <c r="F66" s="41">
        <f>A66</f>
        <v/>
      </c>
      <c r="G66" s="42" t="n"/>
      <c r="H66" s="41" t="inlineStr">
        <is>
          <t>256st</t>
        </is>
      </c>
      <c r="I66" s="41" t="inlineStr">
        <is>
          <t>Lnft</t>
        </is>
      </c>
    </row>
    <row r="67" ht="21.25" customFormat="1" customHeight="1" s="39">
      <c r="A67" s="40" t="inlineStr">
        <is>
          <t>25 Ga 8" Stud</t>
        </is>
      </c>
      <c r="B67" s="41" t="inlineStr">
        <is>
          <t>258s</t>
        </is>
      </c>
      <c r="C67" s="44" t="inlineStr">
        <is>
          <t>?</t>
        </is>
      </c>
      <c r="D67" s="42" t="n"/>
      <c r="E67" s="41" t="inlineStr">
        <is>
          <t>258s</t>
        </is>
      </c>
      <c r="F67" s="41">
        <f>A67</f>
        <v/>
      </c>
      <c r="G67" s="42" t="n"/>
      <c r="H67" s="41" t="inlineStr">
        <is>
          <t>258s</t>
        </is>
      </c>
      <c r="I67" s="41" t="inlineStr">
        <is>
          <t>Lnft</t>
        </is>
      </c>
    </row>
    <row r="68" ht="21.25" customFormat="1" customHeight="1" s="39">
      <c r="A68" s="40" t="inlineStr">
        <is>
          <t>25 Ga 8" Track</t>
        </is>
      </c>
      <c r="B68" s="41" t="inlineStr">
        <is>
          <t>258t</t>
        </is>
      </c>
      <c r="C68" s="44" t="inlineStr">
        <is>
          <t>?</t>
        </is>
      </c>
      <c r="D68" s="42" t="n"/>
      <c r="E68" s="41" t="inlineStr">
        <is>
          <t>258t</t>
        </is>
      </c>
      <c r="F68" s="41">
        <f>A68</f>
        <v/>
      </c>
      <c r="G68" s="42" t="n"/>
      <c r="H68" s="41" t="inlineStr">
        <is>
          <t>258t</t>
        </is>
      </c>
      <c r="I68" s="41" t="inlineStr">
        <is>
          <t>Lnft</t>
        </is>
      </c>
    </row>
    <row r="69" ht="21.25" customFormat="1" customHeight="1" s="39">
      <c r="A69" s="40" t="inlineStr">
        <is>
          <t>25 Ga 8" Deep Track</t>
        </is>
      </c>
      <c r="B69" s="41" t="inlineStr">
        <is>
          <t>258dt</t>
        </is>
      </c>
      <c r="C69" s="44" t="inlineStr">
        <is>
          <t>?</t>
        </is>
      </c>
      <c r="D69" s="42" t="n"/>
      <c r="E69" s="41" t="inlineStr">
        <is>
          <t>258dt</t>
        </is>
      </c>
      <c r="F69" s="41">
        <f>A69</f>
        <v/>
      </c>
      <c r="G69" s="42" t="n"/>
      <c r="H69" s="41" t="inlineStr">
        <is>
          <t>258dt</t>
        </is>
      </c>
      <c r="I69" s="41" t="inlineStr">
        <is>
          <t>Lnft</t>
        </is>
      </c>
    </row>
    <row r="70" ht="21.25" customFormat="1" customHeight="1" s="39">
      <c r="A70" s="40" t="inlineStr">
        <is>
          <t>25 Ga 8" Slotted Track</t>
        </is>
      </c>
      <c r="B70" s="41" t="inlineStr">
        <is>
          <t>258st</t>
        </is>
      </c>
      <c r="C70" s="44" t="inlineStr">
        <is>
          <t>?</t>
        </is>
      </c>
      <c r="D70" s="42" t="n"/>
      <c r="E70" s="41" t="inlineStr">
        <is>
          <t>258st</t>
        </is>
      </c>
      <c r="F70" s="41">
        <f>A70</f>
        <v/>
      </c>
      <c r="G70" s="42" t="n"/>
      <c r="H70" s="41" t="inlineStr">
        <is>
          <t>258st</t>
        </is>
      </c>
      <c r="I70" s="41" t="inlineStr">
        <is>
          <t>Lnft</t>
        </is>
      </c>
    </row>
    <row r="71" ht="21.25" customFormat="1" customHeight="1" s="39">
      <c r="A71" s="40" t="n"/>
      <c r="B71" s="41" t="n"/>
      <c r="C71" s="44" t="n"/>
      <c r="D71" s="42" t="n"/>
      <c r="E71" s="41" t="n"/>
      <c r="F71" s="41">
        <f>A71</f>
        <v/>
      </c>
      <c r="G71" s="42" t="n"/>
      <c r="H71" s="41" t="n"/>
      <c r="I71" s="41" t="inlineStr">
        <is>
          <t>Lnft</t>
        </is>
      </c>
    </row>
    <row r="72" ht="21.25" customFormat="1" customHeight="1" s="39">
      <c r="A72" s="40" t="n"/>
      <c r="B72" s="41" t="n"/>
      <c r="C72" s="44" t="n"/>
      <c r="D72" s="42" t="n"/>
      <c r="E72" s="41" t="n"/>
      <c r="F72" s="41">
        <f>A72</f>
        <v/>
      </c>
      <c r="G72" s="42" t="n"/>
      <c r="H72" s="41" t="n"/>
      <c r="I72" s="41" t="inlineStr">
        <is>
          <t>Lnft</t>
        </is>
      </c>
    </row>
    <row r="73" ht="21.25" customFormat="1" customHeight="1" s="39">
      <c r="A73" s="40" t="inlineStr">
        <is>
          <t>20 Ga 1 5/8” Stud</t>
        </is>
      </c>
      <c r="B73" s="41" t="inlineStr">
        <is>
          <t>201s</t>
        </is>
      </c>
      <c r="C73" s="44" t="n">
        <v>0.97</v>
      </c>
      <c r="D73" s="42" t="n"/>
      <c r="E73" s="41" t="inlineStr">
        <is>
          <t>201s</t>
        </is>
      </c>
      <c r="F73" s="41">
        <f>A73</f>
        <v/>
      </c>
      <c r="G73" s="42" t="n"/>
      <c r="H73" s="41" t="inlineStr">
        <is>
          <t>201s</t>
        </is>
      </c>
      <c r="I73" s="41" t="inlineStr">
        <is>
          <t>Lnft</t>
        </is>
      </c>
    </row>
    <row r="74" ht="21.25" customFormat="1" customHeight="1" s="39">
      <c r="A74" s="40" t="inlineStr">
        <is>
          <t>20 Ga 1 5/8” Track</t>
        </is>
      </c>
      <c r="B74" s="41" t="inlineStr">
        <is>
          <t>201t</t>
        </is>
      </c>
      <c r="C74" s="44" t="n">
        <v>0.85</v>
      </c>
      <c r="D74" s="42" t="n"/>
      <c r="E74" s="41" t="inlineStr">
        <is>
          <t>201t</t>
        </is>
      </c>
      <c r="F74" s="41">
        <f>A74</f>
        <v/>
      </c>
      <c r="G74" s="42" t="n"/>
      <c r="H74" s="41" t="inlineStr">
        <is>
          <t>201t</t>
        </is>
      </c>
      <c r="I74" s="41" t="inlineStr">
        <is>
          <t>Lnft</t>
        </is>
      </c>
    </row>
    <row r="75" ht="21.25" customFormat="1" customHeight="1" s="39">
      <c r="A75" s="40" t="inlineStr">
        <is>
          <t>20 Ga 1 5/8” Deep Tack</t>
        </is>
      </c>
      <c r="B75" s="41" t="inlineStr">
        <is>
          <t>201dt</t>
        </is>
      </c>
      <c r="C75" s="44" t="n">
        <v>1.05</v>
      </c>
      <c r="D75" s="42" t="n"/>
      <c r="E75" s="41" t="inlineStr">
        <is>
          <t>201dt</t>
        </is>
      </c>
      <c r="F75" s="41">
        <f>A75</f>
        <v/>
      </c>
      <c r="G75" s="42" t="n"/>
      <c r="H75" s="41" t="inlineStr">
        <is>
          <t>201dt</t>
        </is>
      </c>
      <c r="I75" s="41" t="inlineStr">
        <is>
          <t>Lnft</t>
        </is>
      </c>
    </row>
    <row r="76" ht="21.25" customFormat="1" customHeight="1" s="39">
      <c r="A76" s="40" t="inlineStr">
        <is>
          <t xml:space="preserve">20 Ga 2 1/2” Stud </t>
        </is>
      </c>
      <c r="B76" s="41" t="inlineStr">
        <is>
          <t>202s</t>
        </is>
      </c>
      <c r="C76" s="44" t="n">
        <v>1.05</v>
      </c>
      <c r="D76" s="42" t="n"/>
      <c r="E76" s="41" t="inlineStr">
        <is>
          <t>202s</t>
        </is>
      </c>
      <c r="F76" s="41">
        <f>A76</f>
        <v/>
      </c>
      <c r="G76" s="42" t="n"/>
      <c r="H76" s="41" t="inlineStr">
        <is>
          <t>202s</t>
        </is>
      </c>
      <c r="I76" s="41" t="inlineStr">
        <is>
          <t>Lnft</t>
        </is>
      </c>
    </row>
    <row r="77" ht="21.25" customFormat="1" customHeight="1" s="39">
      <c r="A77" s="40" t="inlineStr">
        <is>
          <t>20 Ga 2 1/2” Track</t>
        </is>
      </c>
      <c r="B77" s="41" t="inlineStr">
        <is>
          <t>202t</t>
        </is>
      </c>
      <c r="C77" s="44" t="n">
        <v>0.9</v>
      </c>
      <c r="D77" s="42" t="n"/>
      <c r="E77" s="41" t="inlineStr">
        <is>
          <t>202t</t>
        </is>
      </c>
      <c r="F77" s="41">
        <f>A77</f>
        <v/>
      </c>
      <c r="G77" s="42" t="n"/>
      <c r="H77" s="41" t="inlineStr">
        <is>
          <t>202t</t>
        </is>
      </c>
      <c r="I77" s="41" t="inlineStr">
        <is>
          <t>Lnft</t>
        </is>
      </c>
    </row>
    <row r="78" ht="21.25" customFormat="1" customHeight="1" s="39">
      <c r="A78" s="40" t="inlineStr">
        <is>
          <t>20 Ga 2 1/2” Deep Track</t>
        </is>
      </c>
      <c r="B78" s="41" t="inlineStr">
        <is>
          <t>202dt</t>
        </is>
      </c>
      <c r="C78" s="44" t="n">
        <v>1.21</v>
      </c>
      <c r="D78" s="42" t="n"/>
      <c r="E78" s="41" t="inlineStr">
        <is>
          <t>202dt</t>
        </is>
      </c>
      <c r="F78" s="41">
        <f>A78</f>
        <v/>
      </c>
      <c r="G78" s="42" t="n"/>
      <c r="H78" s="41" t="inlineStr">
        <is>
          <t>202dt</t>
        </is>
      </c>
      <c r="I78" s="41" t="inlineStr">
        <is>
          <t>Lnft</t>
        </is>
      </c>
    </row>
    <row r="79" ht="21.25" customFormat="1" customHeight="1" s="39">
      <c r="A79" s="40" t="inlineStr">
        <is>
          <t>20 Ga 2 1/2 Slotted Track</t>
        </is>
      </c>
      <c r="B79" s="41" t="inlineStr">
        <is>
          <t>202st</t>
        </is>
      </c>
      <c r="C79" s="44" t="n">
        <v>2.56</v>
      </c>
      <c r="D79" s="42" t="n"/>
      <c r="E79" s="41" t="inlineStr">
        <is>
          <t>202st</t>
        </is>
      </c>
      <c r="F79" s="41">
        <f>A79</f>
        <v/>
      </c>
      <c r="G79" s="42" t="n"/>
      <c r="H79" s="41" t="inlineStr">
        <is>
          <t>202st</t>
        </is>
      </c>
      <c r="I79" s="41" t="inlineStr">
        <is>
          <t>Lnft</t>
        </is>
      </c>
    </row>
    <row r="80" ht="21.25" customFormat="1" customHeight="1" s="39">
      <c r="A80" s="40" t="inlineStr">
        <is>
          <t>20 Ga 3 5/8” Stud</t>
        </is>
      </c>
      <c r="B80" s="41" t="inlineStr">
        <is>
          <t>203s</t>
        </is>
      </c>
      <c r="C80" s="44" t="n">
        <v>1.185</v>
      </c>
      <c r="D80" s="42" t="n"/>
      <c r="E80" s="41" t="inlineStr">
        <is>
          <t>203s</t>
        </is>
      </c>
      <c r="F80" s="41">
        <f>A80</f>
        <v/>
      </c>
      <c r="G80" s="42" t="n"/>
      <c r="H80" s="41" t="inlineStr">
        <is>
          <t>203s</t>
        </is>
      </c>
      <c r="I80" s="41" t="inlineStr">
        <is>
          <t>Lnft</t>
        </is>
      </c>
    </row>
    <row r="81" ht="21.25" customFormat="1" customHeight="1" s="39">
      <c r="A81" s="40" t="inlineStr">
        <is>
          <t>20 Ga 3 5/8” Track</t>
        </is>
      </c>
      <c r="B81" s="41" t="inlineStr">
        <is>
          <t>203t</t>
        </is>
      </c>
      <c r="C81" s="44" t="n">
        <v>1.14</v>
      </c>
      <c r="D81" s="42" t="n"/>
      <c r="E81" s="41" t="inlineStr">
        <is>
          <t>203t</t>
        </is>
      </c>
      <c r="F81" s="41">
        <f>A81</f>
        <v/>
      </c>
      <c r="G81" s="42" t="n"/>
      <c r="H81" s="41" t="inlineStr">
        <is>
          <t>203t</t>
        </is>
      </c>
      <c r="I81" s="41" t="inlineStr">
        <is>
          <t>Lnft</t>
        </is>
      </c>
    </row>
    <row r="82" ht="21.25" customFormat="1" customHeight="1" s="39">
      <c r="A82" s="40" t="inlineStr">
        <is>
          <t>20 Ga 3 5/8” Deep Track</t>
        </is>
      </c>
      <c r="B82" s="41" t="inlineStr">
        <is>
          <t>203dt</t>
        </is>
      </c>
      <c r="C82" s="44" t="n">
        <v>1.39</v>
      </c>
      <c r="D82" s="42" t="n"/>
      <c r="E82" s="41" t="inlineStr">
        <is>
          <t>203dt</t>
        </is>
      </c>
      <c r="F82" s="41">
        <f>A82</f>
        <v/>
      </c>
      <c r="G82" s="42" t="n"/>
      <c r="H82" s="41" t="inlineStr">
        <is>
          <t>203dt</t>
        </is>
      </c>
      <c r="I82" s="41" t="inlineStr">
        <is>
          <t>Lnft</t>
        </is>
      </c>
    </row>
    <row r="83" ht="21.25" customFormat="1" customHeight="1" s="39">
      <c r="A83" s="40" t="inlineStr">
        <is>
          <t>20 Ga 3 5/8" Slotted Track</t>
        </is>
      </c>
      <c r="B83" s="41" t="inlineStr">
        <is>
          <t>203st</t>
        </is>
      </c>
      <c r="C83" s="44" t="n">
        <v>3.43</v>
      </c>
      <c r="D83" s="42" t="n"/>
      <c r="E83" s="41" t="inlineStr">
        <is>
          <t>203st</t>
        </is>
      </c>
      <c r="F83" s="41">
        <f>A83</f>
        <v/>
      </c>
      <c r="G83" s="42" t="n"/>
      <c r="H83" s="41" t="inlineStr">
        <is>
          <t>203st</t>
        </is>
      </c>
      <c r="I83" s="41" t="inlineStr">
        <is>
          <t>Lnft</t>
        </is>
      </c>
    </row>
    <row r="84" ht="21.25" customFormat="1" customHeight="1" s="39">
      <c r="A84" s="40" t="inlineStr">
        <is>
          <t>20 Ga 6" Stud</t>
        </is>
      </c>
      <c r="B84" s="41" t="inlineStr">
        <is>
          <t>206s</t>
        </is>
      </c>
      <c r="C84" s="44" t="n">
        <v>1.86</v>
      </c>
      <c r="D84" s="42" t="n"/>
      <c r="E84" s="41" t="inlineStr">
        <is>
          <t>206s</t>
        </is>
      </c>
      <c r="F84" s="41">
        <f>A84</f>
        <v/>
      </c>
      <c r="G84" s="42" t="n"/>
      <c r="H84" s="41" t="inlineStr">
        <is>
          <t>206s</t>
        </is>
      </c>
      <c r="I84" s="41" t="inlineStr">
        <is>
          <t>Lnft</t>
        </is>
      </c>
    </row>
    <row r="85" ht="21.25" customFormat="1" customHeight="1" s="39">
      <c r="A85" s="40" t="inlineStr">
        <is>
          <t>20 Ga 6” Track</t>
        </is>
      </c>
      <c r="B85" s="41" t="inlineStr">
        <is>
          <t>206t</t>
        </is>
      </c>
      <c r="C85" s="44" t="n">
        <v>1.73</v>
      </c>
      <c r="D85" s="42" t="n"/>
      <c r="E85" s="41" t="inlineStr">
        <is>
          <t>206t</t>
        </is>
      </c>
      <c r="F85" s="41">
        <f>A85</f>
        <v/>
      </c>
      <c r="G85" s="42" t="n"/>
      <c r="H85" s="41" t="inlineStr">
        <is>
          <t>206t</t>
        </is>
      </c>
      <c r="I85" s="41" t="inlineStr">
        <is>
          <t>Lnft</t>
        </is>
      </c>
    </row>
    <row r="86" ht="21.25" customFormat="1" customHeight="1" s="39">
      <c r="A86" s="40" t="inlineStr">
        <is>
          <t>20 Ga 6” Deep Track</t>
        </is>
      </c>
      <c r="B86" s="41" t="inlineStr">
        <is>
          <t>206dt</t>
        </is>
      </c>
      <c r="C86" s="44" t="n">
        <v>1.9</v>
      </c>
      <c r="D86" s="42" t="n"/>
      <c r="E86" s="41" t="inlineStr">
        <is>
          <t>206dt</t>
        </is>
      </c>
      <c r="F86" s="41">
        <f>A86</f>
        <v/>
      </c>
      <c r="G86" s="42" t="n"/>
      <c r="H86" s="41" t="inlineStr">
        <is>
          <t>206dt</t>
        </is>
      </c>
      <c r="I86" s="41" t="inlineStr">
        <is>
          <t>Lnft</t>
        </is>
      </c>
    </row>
    <row r="87" ht="21.25" customFormat="1" customHeight="1" s="39">
      <c r="A87" s="40" t="inlineStr">
        <is>
          <t>20 Ga 6” Slotted Track</t>
        </is>
      </c>
      <c r="B87" s="41" t="inlineStr">
        <is>
          <t>206st</t>
        </is>
      </c>
      <c r="C87" s="44" t="n">
        <v>3.485</v>
      </c>
      <c r="D87" s="42" t="n"/>
      <c r="E87" s="41" t="inlineStr">
        <is>
          <t>206st</t>
        </is>
      </c>
      <c r="F87" s="41">
        <f>A87</f>
        <v/>
      </c>
      <c r="G87" s="42" t="n"/>
      <c r="H87" s="41" t="inlineStr">
        <is>
          <t>206st</t>
        </is>
      </c>
      <c r="I87" s="41" t="inlineStr">
        <is>
          <t>Lnft</t>
        </is>
      </c>
    </row>
    <row r="88" ht="21.25" customFormat="1" customHeight="1" s="39">
      <c r="A88" s="40" t="inlineStr">
        <is>
          <t>20 Ga 8" Stud</t>
        </is>
      </c>
      <c r="B88" s="41" t="inlineStr">
        <is>
          <t>208s</t>
        </is>
      </c>
      <c r="C88" s="44" t="n">
        <v>2.661</v>
      </c>
      <c r="D88" s="42" t="n"/>
      <c r="E88" s="41" t="inlineStr">
        <is>
          <t>208s</t>
        </is>
      </c>
      <c r="F88" s="41">
        <f>A88</f>
        <v/>
      </c>
      <c r="G88" s="42" t="n"/>
      <c r="H88" s="41" t="inlineStr">
        <is>
          <t>208s</t>
        </is>
      </c>
      <c r="I88" s="41" t="inlineStr">
        <is>
          <t>Lnft</t>
        </is>
      </c>
    </row>
    <row r="89" ht="21.25" customFormat="1" customHeight="1" s="39">
      <c r="A89" s="40" t="inlineStr">
        <is>
          <t>20 Ga 8” Track</t>
        </is>
      </c>
      <c r="B89" s="41" t="inlineStr">
        <is>
          <t>208t</t>
        </is>
      </c>
      <c r="C89" s="44" t="n">
        <v>2.673</v>
      </c>
      <c r="D89" s="42" t="n"/>
      <c r="E89" s="41" t="inlineStr">
        <is>
          <t>208t</t>
        </is>
      </c>
      <c r="F89" s="41">
        <f>A89</f>
        <v/>
      </c>
      <c r="G89" s="42" t="n"/>
      <c r="H89" s="41" t="inlineStr">
        <is>
          <t>208t</t>
        </is>
      </c>
      <c r="I89" s="41" t="inlineStr">
        <is>
          <t>Lnft</t>
        </is>
      </c>
    </row>
    <row r="90" ht="21.25" customFormat="1" customHeight="1" s="39">
      <c r="A90" s="40" t="inlineStr">
        <is>
          <t>20 Ga 8” Deep Track</t>
        </is>
      </c>
      <c r="B90" s="41" t="inlineStr">
        <is>
          <t>208dt</t>
        </is>
      </c>
      <c r="C90" s="42" t="n">
        <v>3.168</v>
      </c>
      <c r="D90" s="42" t="n"/>
      <c r="E90" s="41" t="inlineStr">
        <is>
          <t>208dt</t>
        </is>
      </c>
      <c r="F90" s="41">
        <f>A90</f>
        <v/>
      </c>
      <c r="G90" s="42" t="n"/>
      <c r="H90" s="41" t="inlineStr">
        <is>
          <t>208dt</t>
        </is>
      </c>
      <c r="I90" s="41" t="inlineStr">
        <is>
          <t>Lnft</t>
        </is>
      </c>
    </row>
    <row r="91" ht="21.25" customFormat="1" customHeight="1" s="39">
      <c r="A91" s="40" t="inlineStr">
        <is>
          <t>20 Ga 8” Slotted Track</t>
        </is>
      </c>
      <c r="B91" s="41" t="inlineStr">
        <is>
          <t>208st</t>
        </is>
      </c>
      <c r="C91" s="44" t="n">
        <v>5.162</v>
      </c>
      <c r="D91" s="42" t="n"/>
      <c r="E91" s="41" t="inlineStr">
        <is>
          <t>208st</t>
        </is>
      </c>
      <c r="F91" s="41">
        <f>A91</f>
        <v/>
      </c>
      <c r="G91" s="42" t="n"/>
      <c r="H91" s="41" t="inlineStr">
        <is>
          <t>208st</t>
        </is>
      </c>
      <c r="I91" s="41" t="inlineStr">
        <is>
          <t>Lnft</t>
        </is>
      </c>
    </row>
    <row r="92" ht="21.25" customFormat="1" customHeight="1" s="39">
      <c r="A92" s="40" t="inlineStr">
        <is>
          <t>20 Ga 2 1/2” Stud 1 5/8” Flange'</t>
        </is>
      </c>
      <c r="B92" s="41" t="inlineStr">
        <is>
          <t>202swl</t>
        </is>
      </c>
      <c r="C92" s="44" t="inlineStr">
        <is>
          <t>?</t>
        </is>
      </c>
      <c r="D92" s="42" t="n"/>
      <c r="E92" s="41" t="inlineStr">
        <is>
          <t>202swl</t>
        </is>
      </c>
      <c r="F92" s="41">
        <f>A92</f>
        <v/>
      </c>
      <c r="G92" s="42" t="n"/>
      <c r="H92" s="41" t="inlineStr">
        <is>
          <t>202swl</t>
        </is>
      </c>
      <c r="I92" s="41" t="inlineStr">
        <is>
          <t>Lnft</t>
        </is>
      </c>
    </row>
    <row r="93" ht="21.25" customFormat="1" customHeight="1" s="39">
      <c r="A93" s="40" t="inlineStr">
        <is>
          <t>20 Ga 3 5/8” Stud 1 5/8” Flange</t>
        </is>
      </c>
      <c r="B93" s="41" t="inlineStr">
        <is>
          <t>203swl</t>
        </is>
      </c>
      <c r="C93" s="44" t="n">
        <v>1.47</v>
      </c>
      <c r="D93" s="42" t="n"/>
      <c r="E93" s="41" t="inlineStr">
        <is>
          <t>203swl</t>
        </is>
      </c>
      <c r="F93" s="41">
        <f>A93</f>
        <v/>
      </c>
      <c r="G93" s="42" t="n"/>
      <c r="H93" s="41" t="inlineStr">
        <is>
          <t>203swl</t>
        </is>
      </c>
      <c r="I93" s="41" t="inlineStr">
        <is>
          <t>Lnft</t>
        </is>
      </c>
    </row>
    <row r="94" ht="21.25" customFormat="1" customHeight="1" s="39">
      <c r="A94" s="40" t="inlineStr">
        <is>
          <t>20 Ga 6" Stud 1 5/8” Flange</t>
        </is>
      </c>
      <c r="B94" s="41" t="inlineStr">
        <is>
          <t>206swl</t>
        </is>
      </c>
      <c r="C94" s="44" t="n">
        <v>1.975</v>
      </c>
      <c r="D94" s="42" t="n"/>
      <c r="E94" s="41" t="inlineStr">
        <is>
          <t>206swl</t>
        </is>
      </c>
      <c r="F94" s="41">
        <f>A94</f>
        <v/>
      </c>
      <c r="G94" s="42" t="n"/>
      <c r="H94" s="41" t="inlineStr">
        <is>
          <t>206swl</t>
        </is>
      </c>
      <c r="I94" s="41" t="inlineStr">
        <is>
          <t>Lnft</t>
        </is>
      </c>
    </row>
    <row r="95" ht="21.25" customFormat="1" customHeight="1" s="39">
      <c r="A95" s="40" t="inlineStr">
        <is>
          <t>20 Ga 8" Stud 1 5/8" Flange</t>
        </is>
      </c>
      <c r="B95" s="41" t="inlineStr">
        <is>
          <t>208swl</t>
        </is>
      </c>
      <c r="C95" s="44" t="n">
        <v>3.219</v>
      </c>
      <c r="D95" s="42" t="n"/>
      <c r="E95" s="41" t="inlineStr">
        <is>
          <t>208swl</t>
        </is>
      </c>
      <c r="F95" s="41">
        <f>A95</f>
        <v/>
      </c>
      <c r="G95" s="42" t="n"/>
      <c r="H95" s="41" t="inlineStr">
        <is>
          <t>208swl</t>
        </is>
      </c>
      <c r="I95" s="41" t="inlineStr">
        <is>
          <t>Lnft</t>
        </is>
      </c>
    </row>
    <row r="96" ht="21.25" customFormat="1" customHeight="1" s="39">
      <c r="A96" s="40" t="n"/>
      <c r="B96" s="41" t="n"/>
      <c r="C96" s="44" t="n"/>
      <c r="D96" s="42" t="n"/>
      <c r="E96" s="41" t="n"/>
      <c r="F96" s="41">
        <f>A96</f>
        <v/>
      </c>
      <c r="G96" s="42" t="n"/>
      <c r="H96" s="41" t="n"/>
      <c r="I96" s="41" t="inlineStr">
        <is>
          <t>Lnft</t>
        </is>
      </c>
    </row>
    <row r="97" ht="21.25" customFormat="1" customHeight="1" s="39">
      <c r="A97" s="40" t="inlineStr">
        <is>
          <t>18 Ga 1 5/8” Stud</t>
        </is>
      </c>
      <c r="B97" s="41" t="inlineStr">
        <is>
          <t>181s</t>
        </is>
      </c>
      <c r="C97" s="44" t="inlineStr">
        <is>
          <t>?</t>
        </is>
      </c>
      <c r="D97" s="42" t="n"/>
      <c r="E97" s="41" t="inlineStr">
        <is>
          <t>181s</t>
        </is>
      </c>
      <c r="F97" s="41">
        <f>A97</f>
        <v/>
      </c>
      <c r="G97" s="42" t="n"/>
      <c r="H97" s="41" t="inlineStr">
        <is>
          <t>181s</t>
        </is>
      </c>
      <c r="I97" s="41" t="inlineStr">
        <is>
          <t>Lnft</t>
        </is>
      </c>
    </row>
    <row r="98" ht="21.25" customFormat="1" customHeight="1" s="39">
      <c r="A98" s="40" t="inlineStr">
        <is>
          <t>18 Ga 1 5/8” Track</t>
        </is>
      </c>
      <c r="B98" s="41" t="inlineStr">
        <is>
          <t>181t</t>
        </is>
      </c>
      <c r="C98" s="44" t="inlineStr">
        <is>
          <t>?</t>
        </is>
      </c>
      <c r="D98" s="42" t="n"/>
      <c r="E98" s="41" t="inlineStr">
        <is>
          <t>181t</t>
        </is>
      </c>
      <c r="F98" s="41">
        <f>A98</f>
        <v/>
      </c>
      <c r="G98" s="42" t="n"/>
      <c r="H98" s="41" t="inlineStr">
        <is>
          <t>181t</t>
        </is>
      </c>
      <c r="I98" s="41" t="inlineStr">
        <is>
          <t>Lnft</t>
        </is>
      </c>
    </row>
    <row r="99" ht="21.25" customFormat="1" customHeight="1" s="39">
      <c r="A99" s="40" t="inlineStr">
        <is>
          <t>18 Ga 1 5/8” Deep Tack</t>
        </is>
      </c>
      <c r="B99" s="41" t="inlineStr">
        <is>
          <t>181dt</t>
        </is>
      </c>
      <c r="C99" s="44" t="inlineStr">
        <is>
          <t>?</t>
        </is>
      </c>
      <c r="D99" s="42" t="n"/>
      <c r="E99" s="41" t="inlineStr">
        <is>
          <t>181dt</t>
        </is>
      </c>
      <c r="F99" s="41">
        <f>A99</f>
        <v/>
      </c>
      <c r="G99" s="42" t="n"/>
      <c r="H99" s="41" t="inlineStr">
        <is>
          <t>181dt</t>
        </is>
      </c>
      <c r="I99" s="41" t="inlineStr">
        <is>
          <t>Lnft</t>
        </is>
      </c>
    </row>
    <row r="100" ht="21.25" customFormat="1" customHeight="1" s="39">
      <c r="A100" s="40" t="inlineStr">
        <is>
          <t xml:space="preserve">18 Ga 2 1/2” Stud </t>
        </is>
      </c>
      <c r="B100" s="41" t="inlineStr">
        <is>
          <t>182s</t>
        </is>
      </c>
      <c r="C100" s="44" t="inlineStr">
        <is>
          <t>?</t>
        </is>
      </c>
      <c r="D100" s="42" t="n"/>
      <c r="E100" s="41" t="inlineStr">
        <is>
          <t>182s</t>
        </is>
      </c>
      <c r="F100" s="41">
        <f>A100</f>
        <v/>
      </c>
      <c r="G100" s="42" t="n"/>
      <c r="H100" s="41" t="inlineStr">
        <is>
          <t>182s</t>
        </is>
      </c>
      <c r="I100" s="41" t="inlineStr">
        <is>
          <t>Lnft</t>
        </is>
      </c>
    </row>
    <row r="101" ht="21.25" customFormat="1" customHeight="1" s="39">
      <c r="A101" s="40" t="inlineStr">
        <is>
          <t>18 Ga 2 1/2” Track</t>
        </is>
      </c>
      <c r="B101" s="41" t="inlineStr">
        <is>
          <t>182t</t>
        </is>
      </c>
      <c r="C101" s="44" t="inlineStr">
        <is>
          <t>?</t>
        </is>
      </c>
      <c r="D101" s="42" t="n"/>
      <c r="E101" s="41" t="inlineStr">
        <is>
          <t>182t</t>
        </is>
      </c>
      <c r="F101" s="41">
        <f>A101</f>
        <v/>
      </c>
      <c r="G101" s="42" t="n"/>
      <c r="H101" s="41" t="inlineStr">
        <is>
          <t>182t</t>
        </is>
      </c>
      <c r="I101" s="41" t="inlineStr">
        <is>
          <t>Lnft</t>
        </is>
      </c>
    </row>
    <row r="102" ht="21.25" customFormat="1" customHeight="1" s="39">
      <c r="A102" s="40" t="inlineStr">
        <is>
          <t>18 Ga 2 1/2” Deep Track</t>
        </is>
      </c>
      <c r="B102" s="41" t="inlineStr">
        <is>
          <t>182dt</t>
        </is>
      </c>
      <c r="C102" s="44" t="inlineStr">
        <is>
          <t>?</t>
        </is>
      </c>
      <c r="D102" s="42" t="n"/>
      <c r="E102" s="41" t="inlineStr">
        <is>
          <t>182dt</t>
        </is>
      </c>
      <c r="F102" s="41">
        <f>A102</f>
        <v/>
      </c>
      <c r="G102" s="42" t="n"/>
      <c r="H102" s="41" t="inlineStr">
        <is>
          <t>182dt</t>
        </is>
      </c>
      <c r="I102" s="41" t="inlineStr">
        <is>
          <t>Lnft</t>
        </is>
      </c>
    </row>
    <row r="103" ht="21.25" customFormat="1" customHeight="1" s="39">
      <c r="A103" s="40" t="inlineStr">
        <is>
          <t>18 Ga 2 1/2 Slotted Track</t>
        </is>
      </c>
      <c r="B103" s="41" t="inlineStr">
        <is>
          <t>182st</t>
        </is>
      </c>
      <c r="C103" s="44" t="inlineStr">
        <is>
          <t>?</t>
        </is>
      </c>
      <c r="D103" s="42" t="n"/>
      <c r="E103" s="41" t="inlineStr">
        <is>
          <t>182st</t>
        </is>
      </c>
      <c r="F103" s="41">
        <f>A103</f>
        <v/>
      </c>
      <c r="G103" s="42" t="n"/>
      <c r="H103" s="41" t="inlineStr">
        <is>
          <t>182st</t>
        </is>
      </c>
      <c r="I103" s="41" t="inlineStr">
        <is>
          <t>Lnft</t>
        </is>
      </c>
    </row>
    <row r="104" ht="21.25" customFormat="1" customHeight="1" s="39">
      <c r="A104" s="40" t="inlineStr">
        <is>
          <t>18 Ga 3 5/8” Stud</t>
        </is>
      </c>
      <c r="B104" s="41" t="inlineStr">
        <is>
          <t>183s</t>
        </is>
      </c>
      <c r="C104" s="44" t="n">
        <v>1.47</v>
      </c>
      <c r="D104" s="42" t="n"/>
      <c r="E104" s="41" t="inlineStr">
        <is>
          <t>183s</t>
        </is>
      </c>
      <c r="F104" s="41">
        <f>A104</f>
        <v/>
      </c>
      <c r="G104" s="42" t="n"/>
      <c r="H104" s="41" t="inlineStr">
        <is>
          <t>183s</t>
        </is>
      </c>
      <c r="I104" s="41" t="inlineStr">
        <is>
          <t>Lnft</t>
        </is>
      </c>
    </row>
    <row r="105" ht="21.25" customFormat="1" customHeight="1" s="39">
      <c r="A105" s="40" t="inlineStr">
        <is>
          <t>18 Ga 3 5/8” Track</t>
        </is>
      </c>
      <c r="B105" s="41" t="inlineStr">
        <is>
          <t>183t</t>
        </is>
      </c>
      <c r="C105" s="44" t="n">
        <v>1.525</v>
      </c>
      <c r="D105" s="42" t="n"/>
      <c r="E105" s="41" t="inlineStr">
        <is>
          <t>183t</t>
        </is>
      </c>
      <c r="F105" s="41">
        <f>A105</f>
        <v/>
      </c>
      <c r="G105" s="42" t="n"/>
      <c r="H105" s="41" t="inlineStr">
        <is>
          <t>183t</t>
        </is>
      </c>
      <c r="I105" s="41" t="inlineStr">
        <is>
          <t>Lnft</t>
        </is>
      </c>
    </row>
    <row r="106" ht="21.25" customFormat="1" customHeight="1" s="39">
      <c r="A106" s="40" t="inlineStr">
        <is>
          <t>18 Ga 3 5/8” Deep Track</t>
        </is>
      </c>
      <c r="B106" s="41" t="inlineStr">
        <is>
          <t>183dt</t>
        </is>
      </c>
      <c r="C106" s="44" t="n">
        <v>1.93</v>
      </c>
      <c r="D106" s="42" t="n"/>
      <c r="E106" s="41" t="inlineStr">
        <is>
          <t>183dt</t>
        </is>
      </c>
      <c r="F106" s="41">
        <f>A106</f>
        <v/>
      </c>
      <c r="G106" s="42" t="n"/>
      <c r="H106" s="41" t="inlineStr">
        <is>
          <t>183dt</t>
        </is>
      </c>
      <c r="I106" s="41" t="inlineStr">
        <is>
          <t>Lnft</t>
        </is>
      </c>
    </row>
    <row r="107" ht="21.25" customFormat="1" customHeight="1" s="39">
      <c r="A107" s="40" t="inlineStr">
        <is>
          <t>18 Ga 3 5/8" Slotted Track</t>
        </is>
      </c>
      <c r="B107" s="41" t="inlineStr">
        <is>
          <t>183st</t>
        </is>
      </c>
      <c r="C107" s="44" t="n">
        <v>3.61</v>
      </c>
      <c r="D107" s="42" t="n"/>
      <c r="E107" s="41" t="inlineStr">
        <is>
          <t>183st</t>
        </is>
      </c>
      <c r="F107" s="41">
        <f>A107</f>
        <v/>
      </c>
      <c r="G107" s="42" t="n"/>
      <c r="H107" s="41" t="inlineStr">
        <is>
          <t>183st</t>
        </is>
      </c>
      <c r="I107" s="41" t="inlineStr">
        <is>
          <t>Lnft</t>
        </is>
      </c>
    </row>
    <row r="108" ht="21.25" customFormat="1" customHeight="1" s="39">
      <c r="A108" s="40" t="inlineStr">
        <is>
          <t>18 Ga 6” Stud</t>
        </is>
      </c>
      <c r="B108" s="41" t="inlineStr">
        <is>
          <t>186s</t>
        </is>
      </c>
      <c r="C108" s="44" t="n">
        <v>2.56</v>
      </c>
      <c r="D108" s="42" t="n"/>
      <c r="E108" s="41" t="inlineStr">
        <is>
          <t>186s</t>
        </is>
      </c>
      <c r="F108" s="41">
        <f>A108</f>
        <v/>
      </c>
      <c r="G108" s="42" t="n"/>
      <c r="H108" s="41" t="inlineStr">
        <is>
          <t>186s</t>
        </is>
      </c>
      <c r="I108" s="41" t="inlineStr">
        <is>
          <t>Lnft</t>
        </is>
      </c>
    </row>
    <row r="109" ht="21.25" customFormat="1" customHeight="1" s="39">
      <c r="A109" s="40" t="inlineStr">
        <is>
          <t>18 Ga 6” Track</t>
        </is>
      </c>
      <c r="B109" s="41" t="inlineStr">
        <is>
          <t>186t</t>
        </is>
      </c>
      <c r="C109" s="44" t="n">
        <v>2.2</v>
      </c>
      <c r="D109" s="42" t="n"/>
      <c r="E109" s="41" t="inlineStr">
        <is>
          <t>186t</t>
        </is>
      </c>
      <c r="F109" s="41">
        <f>A109</f>
        <v/>
      </c>
      <c r="G109" s="42" t="n"/>
      <c r="H109" s="41" t="inlineStr">
        <is>
          <t>186t</t>
        </is>
      </c>
      <c r="I109" s="41" t="inlineStr">
        <is>
          <t>Lnft</t>
        </is>
      </c>
    </row>
    <row r="110" ht="21.25" customFormat="1" customHeight="1" s="39">
      <c r="A110" s="40" t="inlineStr">
        <is>
          <t>18 Ga 6” Deep Track</t>
        </is>
      </c>
      <c r="B110" s="41" t="inlineStr">
        <is>
          <t>186dt</t>
        </is>
      </c>
      <c r="C110" s="44" t="n">
        <v>2.56</v>
      </c>
      <c r="D110" s="42" t="n"/>
      <c r="E110" s="41" t="inlineStr">
        <is>
          <t>186dt</t>
        </is>
      </c>
      <c r="F110" s="41">
        <f>A110</f>
        <v/>
      </c>
      <c r="G110" s="42" t="n"/>
      <c r="H110" s="41" t="inlineStr">
        <is>
          <t>186dt</t>
        </is>
      </c>
      <c r="I110" s="41" t="inlineStr">
        <is>
          <t>Lnft</t>
        </is>
      </c>
    </row>
    <row r="111" ht="21.25" customFormat="1" customHeight="1" s="39">
      <c r="A111" s="40" t="inlineStr">
        <is>
          <t>18 Ga 6” Slotted Track</t>
        </is>
      </c>
      <c r="B111" s="41" t="inlineStr">
        <is>
          <t>186st</t>
        </is>
      </c>
      <c r="C111" s="42" t="n">
        <v>3.99</v>
      </c>
      <c r="D111" s="42" t="n"/>
      <c r="E111" s="41" t="inlineStr">
        <is>
          <t>186st</t>
        </is>
      </c>
      <c r="F111" s="41">
        <f>A111</f>
        <v/>
      </c>
      <c r="G111" s="42" t="n"/>
      <c r="H111" s="41" t="inlineStr">
        <is>
          <t>186st</t>
        </is>
      </c>
      <c r="I111" s="41" t="inlineStr">
        <is>
          <t>Lnft</t>
        </is>
      </c>
    </row>
    <row r="112" ht="21.25" customFormat="1" customHeight="1" s="39">
      <c r="A112" s="40" t="inlineStr">
        <is>
          <t>18 Ga 8" Stud</t>
        </is>
      </c>
      <c r="B112" s="41" t="inlineStr">
        <is>
          <t>188s</t>
        </is>
      </c>
      <c r="C112" s="42" t="n">
        <v>3.681</v>
      </c>
      <c r="D112" s="42" t="n"/>
      <c r="E112" s="41" t="inlineStr">
        <is>
          <t>188s</t>
        </is>
      </c>
      <c r="F112" s="41">
        <f>A112</f>
        <v/>
      </c>
      <c r="G112" s="42" t="n"/>
      <c r="H112" s="41" t="inlineStr">
        <is>
          <t>188s</t>
        </is>
      </c>
      <c r="I112" s="41" t="inlineStr">
        <is>
          <t>Lnft</t>
        </is>
      </c>
    </row>
    <row r="113" ht="21.25" customFormat="1" customHeight="1" s="39">
      <c r="A113" s="40" t="inlineStr">
        <is>
          <t>18 Ga 8” Track</t>
        </is>
      </c>
      <c r="B113" s="41" t="inlineStr">
        <is>
          <t>188t</t>
        </is>
      </c>
      <c r="C113" s="42" t="n">
        <v>3.246</v>
      </c>
      <c r="D113" s="42" t="n"/>
      <c r="E113" s="41" t="inlineStr">
        <is>
          <t>188t</t>
        </is>
      </c>
      <c r="F113" s="41">
        <f>A113</f>
        <v/>
      </c>
      <c r="G113" s="42" t="n"/>
      <c r="H113" s="41" t="inlineStr">
        <is>
          <t>188t</t>
        </is>
      </c>
      <c r="I113" s="41" t="inlineStr">
        <is>
          <t>Lnft</t>
        </is>
      </c>
    </row>
    <row r="114" ht="21.25" customFormat="1" customHeight="1" s="39">
      <c r="A114" s="40" t="inlineStr">
        <is>
          <t>18 Ga 8” Deep Track</t>
        </is>
      </c>
      <c r="B114" s="41" t="inlineStr">
        <is>
          <t>188dt</t>
        </is>
      </c>
      <c r="C114" s="42" t="n">
        <v>3.246</v>
      </c>
      <c r="D114" s="42" t="n"/>
      <c r="E114" s="41" t="inlineStr">
        <is>
          <t>188dt</t>
        </is>
      </c>
      <c r="F114" s="41">
        <f>A114</f>
        <v/>
      </c>
      <c r="G114" s="42" t="n"/>
      <c r="H114" s="41" t="inlineStr">
        <is>
          <t>188dt</t>
        </is>
      </c>
      <c r="I114" s="41" t="inlineStr">
        <is>
          <t>Lnft</t>
        </is>
      </c>
    </row>
    <row r="115" ht="21.25" customFormat="1" customHeight="1" s="39">
      <c r="A115" s="40" t="inlineStr">
        <is>
          <t>18 Ga 8” Slotted Track</t>
        </is>
      </c>
      <c r="B115" s="41" t="inlineStr">
        <is>
          <t>188st</t>
        </is>
      </c>
      <c r="C115" s="44" t="n">
        <v>6.04</v>
      </c>
      <c r="D115" s="42" t="n"/>
      <c r="E115" s="41" t="inlineStr">
        <is>
          <t>188st</t>
        </is>
      </c>
      <c r="F115" s="41">
        <f>A115</f>
        <v/>
      </c>
      <c r="G115" s="42" t="n"/>
      <c r="H115" s="41" t="inlineStr">
        <is>
          <t>188st</t>
        </is>
      </c>
      <c r="I115" s="41" t="inlineStr">
        <is>
          <t>Lnft</t>
        </is>
      </c>
    </row>
    <row r="116" ht="21.25" customFormat="1" customHeight="1" s="39">
      <c r="A116" s="40" t="n"/>
      <c r="B116" s="41" t="n"/>
      <c r="C116" s="44" t="n"/>
      <c r="D116" s="42" t="n"/>
      <c r="E116" s="41" t="n"/>
      <c r="F116" s="41">
        <f>A116</f>
        <v/>
      </c>
      <c r="G116" s="42" t="n"/>
      <c r="H116" s="41" t="n"/>
      <c r="I116" s="41" t="inlineStr">
        <is>
          <t>Lnft</t>
        </is>
      </c>
    </row>
    <row r="117" ht="21.25" customFormat="1" customHeight="1" s="39">
      <c r="A117" s="40" t="inlineStr">
        <is>
          <t>16 Ga 3 5/8” Stud</t>
        </is>
      </c>
      <c r="B117" s="41" t="inlineStr">
        <is>
          <t>163s</t>
        </is>
      </c>
      <c r="C117" s="44" t="n">
        <v>2.575</v>
      </c>
      <c r="D117" s="42" t="n"/>
      <c r="E117" s="41" t="inlineStr">
        <is>
          <t>163s</t>
        </is>
      </c>
      <c r="F117" s="41">
        <f>A117</f>
        <v/>
      </c>
      <c r="G117" s="42" t="n"/>
      <c r="H117" s="41" t="inlineStr">
        <is>
          <t>163s</t>
        </is>
      </c>
      <c r="I117" s="41" t="inlineStr">
        <is>
          <t>Lnft</t>
        </is>
      </c>
    </row>
    <row r="118" ht="21.25" customFormat="1" customHeight="1" s="39">
      <c r="A118" s="40" t="inlineStr">
        <is>
          <t>16 Ga 3 5/8” Track</t>
        </is>
      </c>
      <c r="B118" s="41" t="inlineStr">
        <is>
          <t>163t</t>
        </is>
      </c>
      <c r="C118" s="44" t="n">
        <v>1.945</v>
      </c>
      <c r="D118" s="42" t="n"/>
      <c r="E118" s="41" t="inlineStr">
        <is>
          <t>163t</t>
        </is>
      </c>
      <c r="F118" s="41">
        <f>A118</f>
        <v/>
      </c>
      <c r="G118" s="42" t="n"/>
      <c r="H118" s="41" t="inlineStr">
        <is>
          <t>163t</t>
        </is>
      </c>
      <c r="I118" s="41" t="inlineStr">
        <is>
          <t>Lnft</t>
        </is>
      </c>
    </row>
    <row r="119" ht="21.25" customFormat="1" customHeight="1" s="39">
      <c r="A119" s="40" t="inlineStr">
        <is>
          <t>16 Ga 3 5/8” Deep Track</t>
        </is>
      </c>
      <c r="B119" s="41" t="inlineStr">
        <is>
          <t>163dt</t>
        </is>
      </c>
      <c r="C119" s="44" t="n">
        <v>2.515</v>
      </c>
      <c r="D119" s="42" t="n"/>
      <c r="E119" s="41" t="inlineStr">
        <is>
          <t>163dt</t>
        </is>
      </c>
      <c r="F119" s="41">
        <f>A119</f>
        <v/>
      </c>
      <c r="G119" s="42" t="n"/>
      <c r="H119" s="41" t="inlineStr">
        <is>
          <t>163dt</t>
        </is>
      </c>
      <c r="I119" s="41" t="inlineStr">
        <is>
          <t>Lnft</t>
        </is>
      </c>
    </row>
    <row r="120" ht="21.25" customFormat="1" customHeight="1" s="39">
      <c r="A120" s="40" t="inlineStr">
        <is>
          <t>16 Ga 3 5/8" Slotted Track</t>
        </is>
      </c>
      <c r="B120" s="41" t="inlineStr">
        <is>
          <t>163st</t>
        </is>
      </c>
      <c r="C120" s="44" t="n">
        <v>4.3</v>
      </c>
      <c r="D120" s="42" t="n"/>
      <c r="E120" s="41" t="inlineStr">
        <is>
          <t>163st</t>
        </is>
      </c>
      <c r="F120" s="41">
        <f>A120</f>
        <v/>
      </c>
      <c r="G120" s="42" t="n"/>
      <c r="H120" s="41" t="inlineStr">
        <is>
          <t>163st</t>
        </is>
      </c>
      <c r="I120" s="41" t="inlineStr">
        <is>
          <t>Lnft</t>
        </is>
      </c>
    </row>
    <row r="121" ht="21.25" customFormat="1" customHeight="1" s="39">
      <c r="A121" s="41" t="inlineStr">
        <is>
          <t>16 Ga 6" Stud</t>
        </is>
      </c>
      <c r="B121" s="41" t="inlineStr">
        <is>
          <t>166s</t>
        </is>
      </c>
      <c r="C121" s="44" t="n">
        <v>3.445</v>
      </c>
      <c r="D121" s="42" t="n"/>
      <c r="E121" s="41" t="inlineStr">
        <is>
          <t>166s</t>
        </is>
      </c>
      <c r="F121" s="41">
        <f>A121</f>
        <v/>
      </c>
      <c r="G121" s="42" t="n"/>
      <c r="H121" s="41" t="inlineStr">
        <is>
          <t>166s</t>
        </is>
      </c>
      <c r="I121" s="41" t="inlineStr">
        <is>
          <t>Lnft</t>
        </is>
      </c>
    </row>
    <row r="122" ht="21.25" customFormat="1" customHeight="1" s="39">
      <c r="A122" s="40" t="inlineStr">
        <is>
          <t>16 Ga 6” Track</t>
        </is>
      </c>
      <c r="B122" s="41" t="inlineStr">
        <is>
          <t>166t</t>
        </is>
      </c>
      <c r="C122" s="44" t="n">
        <v>2.75</v>
      </c>
      <c r="D122" s="42" t="n"/>
      <c r="E122" s="41" t="inlineStr">
        <is>
          <t>166t</t>
        </is>
      </c>
      <c r="F122" s="41">
        <f>A122</f>
        <v/>
      </c>
      <c r="G122" s="42" t="n"/>
      <c r="H122" s="41" t="inlineStr">
        <is>
          <t>166t</t>
        </is>
      </c>
      <c r="I122" s="41" t="inlineStr">
        <is>
          <t>Lnft</t>
        </is>
      </c>
    </row>
    <row r="123" ht="21.25" customFormat="1" customHeight="1" s="39">
      <c r="A123" s="40" t="inlineStr">
        <is>
          <t>16 Ga 6” Deep Track</t>
        </is>
      </c>
      <c r="B123" s="41" t="inlineStr">
        <is>
          <t>166dt</t>
        </is>
      </c>
      <c r="C123" s="42" t="n">
        <v>3.28</v>
      </c>
      <c r="D123" s="42" t="n"/>
      <c r="E123" s="41" t="inlineStr">
        <is>
          <t>166dt</t>
        </is>
      </c>
      <c r="F123" s="41">
        <f>A123</f>
        <v/>
      </c>
      <c r="G123" s="42" t="n"/>
      <c r="H123" s="41" t="inlineStr">
        <is>
          <t>166dt</t>
        </is>
      </c>
      <c r="I123" s="41" t="inlineStr">
        <is>
          <t>Lnft</t>
        </is>
      </c>
    </row>
    <row r="124" ht="21.25" customFormat="1" customHeight="1" s="39">
      <c r="A124" s="40" t="inlineStr">
        <is>
          <t>16 Ga 6” Slotted Track</t>
        </is>
      </c>
      <c r="B124" s="41" t="inlineStr">
        <is>
          <t>166st</t>
        </is>
      </c>
      <c r="C124" s="44" t="n">
        <v>5.1</v>
      </c>
      <c r="D124" s="42" t="n"/>
      <c r="E124" s="41" t="inlineStr">
        <is>
          <t>166st</t>
        </is>
      </c>
      <c r="F124" s="41">
        <f>A124</f>
        <v/>
      </c>
      <c r="G124" s="42" t="n"/>
      <c r="H124" s="41" t="inlineStr">
        <is>
          <t>166st</t>
        </is>
      </c>
      <c r="I124" s="41" t="inlineStr">
        <is>
          <t>Lnft</t>
        </is>
      </c>
    </row>
    <row r="125" ht="21.25" customFormat="1" customHeight="1" s="39">
      <c r="A125" s="40" t="inlineStr">
        <is>
          <t>16 Ga 8" Stud</t>
        </is>
      </c>
      <c r="B125" s="41" t="inlineStr">
        <is>
          <t>168s</t>
        </is>
      </c>
      <c r="C125" s="44" t="inlineStr">
        <is>
          <t>?</t>
        </is>
      </c>
      <c r="D125" s="42" t="n"/>
      <c r="E125" s="41" t="inlineStr">
        <is>
          <t>168s</t>
        </is>
      </c>
      <c r="F125" s="41">
        <f>A125</f>
        <v/>
      </c>
      <c r="G125" s="42" t="n"/>
      <c r="H125" s="41" t="inlineStr">
        <is>
          <t>168s</t>
        </is>
      </c>
      <c r="I125" s="41" t="inlineStr">
        <is>
          <t>Lnft</t>
        </is>
      </c>
    </row>
    <row r="126" ht="21.25" customFormat="1" customHeight="1" s="39">
      <c r="A126" s="45" t="inlineStr">
        <is>
          <t>16 Ga 8” Track</t>
        </is>
      </c>
      <c r="B126" s="41" t="inlineStr">
        <is>
          <t>168t</t>
        </is>
      </c>
      <c r="C126" s="44" t="inlineStr">
        <is>
          <t>?</t>
        </is>
      </c>
      <c r="D126" s="42" t="n"/>
      <c r="E126" s="41" t="inlineStr">
        <is>
          <t>168t</t>
        </is>
      </c>
      <c r="F126" s="41">
        <f>A126</f>
        <v/>
      </c>
      <c r="G126" s="42" t="n"/>
      <c r="H126" s="41" t="inlineStr">
        <is>
          <t>168t</t>
        </is>
      </c>
      <c r="I126" s="41" t="inlineStr">
        <is>
          <t>Lnft</t>
        </is>
      </c>
    </row>
    <row r="127" ht="21.25" customFormat="1" customHeight="1" s="39">
      <c r="A127" s="45" t="inlineStr">
        <is>
          <t>16 Ga 8” Deep Track</t>
        </is>
      </c>
      <c r="B127" s="41" t="inlineStr">
        <is>
          <t>168dt</t>
        </is>
      </c>
      <c r="C127" s="44" t="inlineStr">
        <is>
          <t>?</t>
        </is>
      </c>
      <c r="D127" s="42" t="n"/>
      <c r="E127" s="41" t="inlineStr">
        <is>
          <t>168dt</t>
        </is>
      </c>
      <c r="F127" s="41">
        <f>A127</f>
        <v/>
      </c>
      <c r="G127" s="42" t="n"/>
      <c r="H127" s="41" t="inlineStr">
        <is>
          <t>168dt</t>
        </is>
      </c>
      <c r="I127" s="41" t="inlineStr">
        <is>
          <t>Lnft</t>
        </is>
      </c>
    </row>
    <row r="128" ht="21.25" customFormat="1" customHeight="1" s="39">
      <c r="A128" s="40" t="inlineStr">
        <is>
          <t>16 Ga 8” Slotted Track</t>
        </is>
      </c>
      <c r="B128" s="41" t="inlineStr">
        <is>
          <t>168st</t>
        </is>
      </c>
      <c r="C128" s="44" t="inlineStr">
        <is>
          <t>?</t>
        </is>
      </c>
      <c r="D128" s="42" t="n"/>
      <c r="E128" s="41" t="inlineStr">
        <is>
          <t>168st</t>
        </is>
      </c>
      <c r="F128" s="41">
        <f>A128</f>
        <v/>
      </c>
      <c r="G128" s="42" t="n"/>
      <c r="H128" s="41" t="inlineStr">
        <is>
          <t>168st</t>
        </is>
      </c>
      <c r="I128" s="41" t="inlineStr">
        <is>
          <t>Lnft</t>
        </is>
      </c>
    </row>
    <row r="129" ht="21.25" customFormat="1" customHeight="1" s="39">
      <c r="A129" s="40" t="n"/>
      <c r="B129" s="41" t="n"/>
      <c r="C129" s="44" t="n"/>
      <c r="D129" s="42" t="n"/>
      <c r="E129" s="41" t="n"/>
      <c r="F129" s="41">
        <f>A129</f>
        <v/>
      </c>
      <c r="G129" s="42" t="n"/>
      <c r="H129" s="41" t="n"/>
      <c r="I129" s="41" t="inlineStr">
        <is>
          <t>Lnft</t>
        </is>
      </c>
    </row>
    <row r="130" ht="21.25" customFormat="1" customHeight="1" s="39">
      <c r="A130" s="40" t="inlineStr">
        <is>
          <t>14 Ga 3 5/8” Std</t>
        </is>
      </c>
      <c r="B130" s="41" t="inlineStr">
        <is>
          <t>143s</t>
        </is>
      </c>
      <c r="C130" s="44" t="inlineStr">
        <is>
          <t>?</t>
        </is>
      </c>
      <c r="D130" s="42" t="n"/>
      <c r="E130" s="41" t="inlineStr">
        <is>
          <t>143s</t>
        </is>
      </c>
      <c r="F130" s="41">
        <f>A130</f>
        <v/>
      </c>
      <c r="G130" s="42" t="n"/>
      <c r="H130" s="41" t="inlineStr">
        <is>
          <t>143s</t>
        </is>
      </c>
      <c r="I130" s="41" t="inlineStr">
        <is>
          <t>Lnft</t>
        </is>
      </c>
    </row>
    <row r="131" ht="21.25" customFormat="1" customHeight="1" s="39">
      <c r="A131" s="40" t="inlineStr">
        <is>
          <t>14 Ga 3 5/8” Track</t>
        </is>
      </c>
      <c r="B131" s="41" t="inlineStr">
        <is>
          <t>143t</t>
        </is>
      </c>
      <c r="C131" s="44" t="inlineStr">
        <is>
          <t>?</t>
        </is>
      </c>
      <c r="D131" s="42" t="n"/>
      <c r="E131" s="41" t="inlineStr">
        <is>
          <t>143t</t>
        </is>
      </c>
      <c r="F131" s="41">
        <f>A131</f>
        <v/>
      </c>
      <c r="G131" s="42" t="n"/>
      <c r="H131" s="41" t="inlineStr">
        <is>
          <t>143t</t>
        </is>
      </c>
      <c r="I131" s="41" t="inlineStr">
        <is>
          <t>Lnft</t>
        </is>
      </c>
    </row>
    <row r="132" ht="21.25" customFormat="1" customHeight="1" s="39">
      <c r="A132" s="40" t="inlineStr">
        <is>
          <t>14 Ga 3 5/8” Deep Track</t>
        </is>
      </c>
      <c r="B132" s="41" t="inlineStr">
        <is>
          <t>143dt</t>
        </is>
      </c>
      <c r="C132" s="44" t="inlineStr">
        <is>
          <t>?</t>
        </is>
      </c>
      <c r="D132" s="42" t="n"/>
      <c r="E132" s="41" t="inlineStr">
        <is>
          <t>143dt</t>
        </is>
      </c>
      <c r="F132" s="41">
        <f>A132</f>
        <v/>
      </c>
      <c r="G132" s="42" t="n"/>
      <c r="H132" s="41" t="inlineStr">
        <is>
          <t>143dt</t>
        </is>
      </c>
      <c r="I132" s="41" t="inlineStr">
        <is>
          <t>Lnft</t>
        </is>
      </c>
    </row>
    <row r="133" ht="21.25" customFormat="1" customHeight="1" s="39">
      <c r="A133" s="40" t="inlineStr">
        <is>
          <t>14 Ga 3 5/8" Slotted Track</t>
        </is>
      </c>
      <c r="B133" s="41" t="inlineStr">
        <is>
          <t>143st</t>
        </is>
      </c>
      <c r="C133" s="44" t="inlineStr">
        <is>
          <t>?</t>
        </is>
      </c>
      <c r="D133" s="42" t="n"/>
      <c r="E133" s="41" t="inlineStr">
        <is>
          <t>143st</t>
        </is>
      </c>
      <c r="F133" s="41">
        <f>A133</f>
        <v/>
      </c>
      <c r="G133" s="42" t="n"/>
      <c r="H133" s="41" t="inlineStr">
        <is>
          <t>143st</t>
        </is>
      </c>
      <c r="I133" s="41" t="inlineStr">
        <is>
          <t>Lnft</t>
        </is>
      </c>
    </row>
    <row r="134" ht="21.25" customFormat="1" customHeight="1" s="39">
      <c r="A134" s="40" t="inlineStr">
        <is>
          <t>14 Ga 6" Stud</t>
        </is>
      </c>
      <c r="B134" s="41" t="inlineStr">
        <is>
          <t>146s</t>
        </is>
      </c>
      <c r="C134" s="44" t="inlineStr">
        <is>
          <t>?</t>
        </is>
      </c>
      <c r="D134" s="42" t="n"/>
      <c r="E134" s="41" t="inlineStr">
        <is>
          <t>146s</t>
        </is>
      </c>
      <c r="F134" s="41">
        <f>A134</f>
        <v/>
      </c>
      <c r="G134" s="42" t="n"/>
      <c r="H134" s="41" t="inlineStr">
        <is>
          <t>146s</t>
        </is>
      </c>
      <c r="I134" s="41" t="inlineStr">
        <is>
          <t>Lnft</t>
        </is>
      </c>
    </row>
    <row r="135" ht="21.25" customFormat="1" customHeight="1" s="39">
      <c r="A135" s="40" t="inlineStr">
        <is>
          <t>14 Ga 6” Track</t>
        </is>
      </c>
      <c r="B135" s="41" t="inlineStr">
        <is>
          <t>146t</t>
        </is>
      </c>
      <c r="C135" s="44" t="inlineStr">
        <is>
          <t>?</t>
        </is>
      </c>
      <c r="D135" s="42" t="n"/>
      <c r="E135" s="41" t="inlineStr">
        <is>
          <t>146t</t>
        </is>
      </c>
      <c r="F135" s="41">
        <f>A135</f>
        <v/>
      </c>
      <c r="G135" s="42" t="n"/>
      <c r="H135" s="41" t="inlineStr">
        <is>
          <t>146t</t>
        </is>
      </c>
      <c r="I135" s="41" t="inlineStr">
        <is>
          <t>Lnft</t>
        </is>
      </c>
    </row>
    <row r="136" ht="21.25" customFormat="1" customHeight="1" s="39">
      <c r="A136" s="40" t="inlineStr">
        <is>
          <t>14 Ga 6” Deep Track</t>
        </is>
      </c>
      <c r="B136" s="41" t="inlineStr">
        <is>
          <t>146dt</t>
        </is>
      </c>
      <c r="C136" s="44" t="inlineStr">
        <is>
          <t>?</t>
        </is>
      </c>
      <c r="D136" s="42" t="n"/>
      <c r="E136" s="41" t="inlineStr">
        <is>
          <t>146dt</t>
        </is>
      </c>
      <c r="F136" s="41">
        <f>A136</f>
        <v/>
      </c>
      <c r="G136" s="42" t="n"/>
      <c r="H136" s="41" t="inlineStr">
        <is>
          <t>146dt</t>
        </is>
      </c>
      <c r="I136" s="41" t="inlineStr">
        <is>
          <t>Lnft</t>
        </is>
      </c>
    </row>
    <row r="137" ht="21.25" customFormat="1" customHeight="1" s="39">
      <c r="A137" s="40" t="inlineStr">
        <is>
          <t>14 Ga 6” Slotted Track</t>
        </is>
      </c>
      <c r="B137" s="41" t="inlineStr">
        <is>
          <t>146st</t>
        </is>
      </c>
      <c r="C137" s="44" t="inlineStr">
        <is>
          <t>?</t>
        </is>
      </c>
      <c r="D137" s="42" t="n"/>
      <c r="E137" s="41" t="inlineStr">
        <is>
          <t>146st</t>
        </is>
      </c>
      <c r="F137" s="41">
        <f>A137</f>
        <v/>
      </c>
      <c r="G137" s="42" t="n"/>
      <c r="H137" s="41" t="inlineStr">
        <is>
          <t>146st</t>
        </is>
      </c>
      <c r="I137" s="41" t="inlineStr">
        <is>
          <t>Lnft</t>
        </is>
      </c>
    </row>
    <row r="138" ht="21.25" customFormat="1" customHeight="1" s="39">
      <c r="A138" s="40" t="inlineStr">
        <is>
          <t>14 Ga 8" Stud</t>
        </is>
      </c>
      <c r="B138" s="41" t="inlineStr">
        <is>
          <t>148s</t>
        </is>
      </c>
      <c r="C138" s="44" t="inlineStr">
        <is>
          <t>?</t>
        </is>
      </c>
      <c r="D138" s="42" t="n"/>
      <c r="E138" s="41" t="inlineStr">
        <is>
          <t>148s</t>
        </is>
      </c>
      <c r="F138" s="41">
        <f>A138</f>
        <v/>
      </c>
      <c r="G138" s="42" t="n"/>
      <c r="H138" s="41" t="inlineStr">
        <is>
          <t>148s</t>
        </is>
      </c>
      <c r="I138" s="41" t="inlineStr">
        <is>
          <t>Lnft</t>
        </is>
      </c>
    </row>
    <row r="139" ht="21.25" customFormat="1" customHeight="1" s="39">
      <c r="A139" s="40" t="inlineStr">
        <is>
          <t>14 Ga 8” Track</t>
        </is>
      </c>
      <c r="B139" s="41" t="inlineStr">
        <is>
          <t>148t</t>
        </is>
      </c>
      <c r="C139" s="44" t="inlineStr">
        <is>
          <t>?</t>
        </is>
      </c>
      <c r="D139" s="42" t="n"/>
      <c r="E139" s="41" t="inlineStr">
        <is>
          <t>148t</t>
        </is>
      </c>
      <c r="F139" s="41">
        <f>A139</f>
        <v/>
      </c>
      <c r="G139" s="42" t="n"/>
      <c r="H139" s="41" t="inlineStr">
        <is>
          <t>148t</t>
        </is>
      </c>
      <c r="I139" s="41" t="inlineStr">
        <is>
          <t>Lnft</t>
        </is>
      </c>
    </row>
    <row r="140" ht="21.25" customFormat="1" customHeight="1" s="39">
      <c r="A140" s="40" t="inlineStr">
        <is>
          <t>14 Ga 8” Deep Track</t>
        </is>
      </c>
      <c r="B140" s="41" t="inlineStr">
        <is>
          <t>148dt</t>
        </is>
      </c>
      <c r="C140" s="42" t="inlineStr">
        <is>
          <t>?</t>
        </is>
      </c>
      <c r="D140" s="42" t="n"/>
      <c r="E140" s="41" t="inlineStr">
        <is>
          <t>148dt</t>
        </is>
      </c>
      <c r="F140" s="41">
        <f>A140</f>
        <v/>
      </c>
      <c r="G140" s="42" t="n"/>
      <c r="H140" s="41" t="inlineStr">
        <is>
          <t>148dt</t>
        </is>
      </c>
      <c r="I140" s="41" t="inlineStr">
        <is>
          <t>Lnft</t>
        </is>
      </c>
    </row>
    <row r="141" ht="21.25" customFormat="1" customHeight="1" s="39">
      <c r="A141" s="40" t="inlineStr">
        <is>
          <t>14 Ga 8” Slotted Track</t>
        </is>
      </c>
      <c r="B141" s="41" t="inlineStr">
        <is>
          <t>148st</t>
        </is>
      </c>
      <c r="C141" s="44" t="inlineStr">
        <is>
          <t>?</t>
        </is>
      </c>
      <c r="D141" s="42" t="n"/>
      <c r="E141" s="41" t="inlineStr">
        <is>
          <t>148st</t>
        </is>
      </c>
      <c r="F141" s="41">
        <f>A141</f>
        <v/>
      </c>
      <c r="G141" s="42" t="n"/>
      <c r="H141" s="41" t="inlineStr">
        <is>
          <t>148st</t>
        </is>
      </c>
      <c r="I141" s="41" t="inlineStr">
        <is>
          <t>Lnft</t>
        </is>
      </c>
    </row>
    <row r="142" ht="21.25" customFormat="1" customHeight="1" s="39">
      <c r="A142" s="40" t="n"/>
      <c r="B142" s="41" t="n"/>
      <c r="C142" s="44" t="n"/>
      <c r="D142" s="42" t="n"/>
      <c r="E142" s="41" t="n"/>
      <c r="F142" s="41">
        <f>A142</f>
        <v/>
      </c>
      <c r="G142" s="42" t="n"/>
      <c r="H142" s="41" t="n"/>
      <c r="I142" s="41" t="n"/>
    </row>
    <row r="143" ht="21.25" customFormat="1" customHeight="1" s="39">
      <c r="A143" s="40" t="n"/>
      <c r="B143" s="41" t="n"/>
      <c r="C143" s="44" t="n"/>
      <c r="D143" s="42" t="n"/>
      <c r="E143" s="41" t="n">
        <v>0</v>
      </c>
      <c r="F143" s="41">
        <f>A143</f>
        <v/>
      </c>
      <c r="G143" s="42" t="n"/>
      <c r="H143" s="41" t="n">
        <v>0</v>
      </c>
      <c r="I143" s="41" t="inlineStr">
        <is>
          <t>Lnft</t>
        </is>
      </c>
    </row>
    <row r="144" ht="21.25" customFormat="1" customHeight="1" s="39">
      <c r="A144" s="41" t="inlineStr">
        <is>
          <t>16 Ga 	3/4” Carring Channel</t>
        </is>
      </c>
      <c r="B144" s="41" t="inlineStr">
        <is>
          <t>34cc</t>
        </is>
      </c>
      <c r="C144" s="44" t="n">
        <v>0.55</v>
      </c>
      <c r="D144" s="42" t="n"/>
      <c r="E144" s="41" t="inlineStr">
        <is>
          <t>34cc</t>
        </is>
      </c>
      <c r="F144" s="41">
        <f>A144</f>
        <v/>
      </c>
      <c r="G144" s="42" t="n"/>
      <c r="H144" s="41" t="inlineStr">
        <is>
          <t>34cc</t>
        </is>
      </c>
      <c r="I144" s="41" t="inlineStr">
        <is>
          <t>Lnft</t>
        </is>
      </c>
    </row>
    <row r="145" ht="21.25" customFormat="1" customHeight="1" s="39">
      <c r="A145" s="41" t="inlineStr">
        <is>
          <t>18 Ga 	1 1/2” Carring Channel</t>
        </is>
      </c>
      <c r="B145" s="41" t="inlineStr">
        <is>
          <t>18cc</t>
        </is>
      </c>
      <c r="C145" s="44" t="n">
        <v>0.675</v>
      </c>
      <c r="D145" s="42" t="n"/>
      <c r="E145" s="41" t="inlineStr">
        <is>
          <t>18cc</t>
        </is>
      </c>
      <c r="F145" s="41">
        <f>A145</f>
        <v/>
      </c>
      <c r="G145" s="42" t="n"/>
      <c r="H145" s="41" t="inlineStr">
        <is>
          <t>18cc</t>
        </is>
      </c>
      <c r="I145" s="41" t="inlineStr">
        <is>
          <t>Lnft</t>
        </is>
      </c>
    </row>
    <row r="146" ht="21.25" customFormat="1" customHeight="1" s="39">
      <c r="A146" s="41" t="inlineStr">
        <is>
          <t>16 Ga	1 1/2” Carring Channel</t>
        </is>
      </c>
      <c r="B146" s="41" t="inlineStr">
        <is>
          <t>16cc</t>
        </is>
      </c>
      <c r="C146" s="44" t="n">
        <v>0.825</v>
      </c>
      <c r="D146" s="42" t="n"/>
      <c r="E146" s="41" t="inlineStr">
        <is>
          <t>16cc</t>
        </is>
      </c>
      <c r="F146" s="41">
        <f>A146</f>
        <v/>
      </c>
      <c r="G146" s="42" t="n"/>
      <c r="H146" s="41" t="inlineStr">
        <is>
          <t>16cc</t>
        </is>
      </c>
      <c r="I146" s="41" t="inlineStr">
        <is>
          <t>Lnft</t>
        </is>
      </c>
    </row>
    <row r="147" ht="21.25" customFormat="1" customHeight="1" s="39">
      <c r="A147" s="41" t="n"/>
      <c r="B147" s="41" t="n"/>
      <c r="C147" s="44" t="n"/>
      <c r="D147" s="42" t="n"/>
      <c r="E147" s="41" t="n"/>
      <c r="F147" s="41">
        <f>A147</f>
        <v/>
      </c>
      <c r="G147" s="42" t="n"/>
      <c r="H147" s="41" t="n"/>
      <c r="I147" s="41" t="inlineStr">
        <is>
          <t>Lnft</t>
        </is>
      </c>
    </row>
    <row r="148" ht="21.25" customFormat="1" customHeight="1" s="39">
      <c r="A148" s="41" t="inlineStr">
        <is>
          <t>25 Ga 	Resilient Channel</t>
        </is>
      </c>
      <c r="B148" s="41" t="inlineStr">
        <is>
          <t>RC</t>
        </is>
      </c>
      <c r="C148" s="44" t="n">
        <v>0.34</v>
      </c>
      <c r="D148" s="42" t="n"/>
      <c r="E148" s="41" t="inlineStr">
        <is>
          <t>RC</t>
        </is>
      </c>
      <c r="F148" s="41">
        <f>A148</f>
        <v/>
      </c>
      <c r="G148" s="42" t="n"/>
      <c r="H148" s="41" t="inlineStr">
        <is>
          <t>RC</t>
        </is>
      </c>
      <c r="I148" s="41" t="inlineStr">
        <is>
          <t>Lnft</t>
        </is>
      </c>
    </row>
    <row r="149" ht="21.25" customFormat="1" customHeight="1" s="39">
      <c r="A149" s="41" t="inlineStr">
        <is>
          <t>25 Ga 	7/8” Hat Track</t>
        </is>
      </c>
      <c r="B149" s="41" t="inlineStr">
        <is>
          <t>25ht</t>
        </is>
      </c>
      <c r="C149" s="44" t="n">
        <v>0.435</v>
      </c>
      <c r="D149" s="42" t="n"/>
      <c r="E149" s="41" t="inlineStr">
        <is>
          <t>25ht</t>
        </is>
      </c>
      <c r="F149" s="41">
        <f>A149</f>
        <v/>
      </c>
      <c r="G149" s="42" t="n"/>
      <c r="H149" s="41" t="inlineStr">
        <is>
          <t>25ht</t>
        </is>
      </c>
      <c r="I149" s="41" t="inlineStr">
        <is>
          <t>Lnft</t>
        </is>
      </c>
    </row>
    <row r="150" ht="21.25" customFormat="1" customHeight="1" s="39">
      <c r="A150" s="41" t="inlineStr">
        <is>
          <t>20 Ga 	7/8” Hat Track</t>
        </is>
      </c>
      <c r="B150" s="41" t="inlineStr">
        <is>
          <t>20ht</t>
        </is>
      </c>
      <c r="C150" s="44" t="n">
        <v>0.835</v>
      </c>
      <c r="D150" s="42" t="n"/>
      <c r="E150" s="41" t="inlineStr">
        <is>
          <t>20ht</t>
        </is>
      </c>
      <c r="F150" s="41">
        <f>A150</f>
        <v/>
      </c>
      <c r="G150" s="42" t="n"/>
      <c r="H150" s="41" t="inlineStr">
        <is>
          <t>20ht</t>
        </is>
      </c>
      <c r="I150" s="41" t="inlineStr">
        <is>
          <t>Lnft</t>
        </is>
      </c>
    </row>
    <row r="151" ht="21.25" customFormat="1" customHeight="1" s="39">
      <c r="A151" s="41" t="inlineStr">
        <is>
          <t>18 Ga 	7/8” Hat Track</t>
        </is>
      </c>
      <c r="B151" s="41" t="inlineStr">
        <is>
          <t>18ht</t>
        </is>
      </c>
      <c r="C151" s="44" t="n">
        <v>1.295</v>
      </c>
      <c r="D151" s="42" t="n"/>
      <c r="E151" s="41" t="inlineStr">
        <is>
          <t>18ht</t>
        </is>
      </c>
      <c r="F151" s="41">
        <f>A151</f>
        <v/>
      </c>
      <c r="G151" s="42" t="n"/>
      <c r="H151" s="41" t="inlineStr">
        <is>
          <t>18ht</t>
        </is>
      </c>
      <c r="I151" s="41" t="inlineStr">
        <is>
          <t>Lnft</t>
        </is>
      </c>
    </row>
    <row r="152" ht="21.25" customFormat="1" customHeight="1" s="39">
      <c r="A152" s="41" t="inlineStr">
        <is>
          <t>25 Ga 	1 1/2” Angle</t>
        </is>
      </c>
      <c r="B152" s="41" t="inlineStr">
        <is>
          <t>251a</t>
        </is>
      </c>
      <c r="C152" s="44" t="n">
        <v>0.37</v>
      </c>
      <c r="D152" s="42" t="n"/>
      <c r="E152" s="41" t="inlineStr">
        <is>
          <t>251a</t>
        </is>
      </c>
      <c r="F152" s="41">
        <f>A152</f>
        <v/>
      </c>
      <c r="G152" s="42" t="n"/>
      <c r="H152" s="41" t="inlineStr">
        <is>
          <t>251a</t>
        </is>
      </c>
      <c r="I152" s="41" t="inlineStr">
        <is>
          <t>Lnft</t>
        </is>
      </c>
    </row>
    <row r="153" ht="21.25" customFormat="1" customHeight="1" s="39">
      <c r="A153" s="41" t="inlineStr">
        <is>
          <t>25 Ga 	2” Angle</t>
        </is>
      </c>
      <c r="B153" s="41" t="inlineStr">
        <is>
          <t>252a</t>
        </is>
      </c>
      <c r="C153" s="44" t="n">
        <v>0.5</v>
      </c>
      <c r="D153" s="42" t="n"/>
      <c r="E153" s="41" t="inlineStr">
        <is>
          <t>252a</t>
        </is>
      </c>
      <c r="F153" s="41">
        <f>A153</f>
        <v/>
      </c>
      <c r="G153" s="42" t="n"/>
      <c r="H153" s="41" t="inlineStr">
        <is>
          <t>252a</t>
        </is>
      </c>
      <c r="I153" s="41" t="inlineStr">
        <is>
          <t>Lnft</t>
        </is>
      </c>
    </row>
    <row r="154" ht="21.25" customFormat="1" customHeight="1" s="39">
      <c r="A154" s="41" t="inlineStr">
        <is>
          <t>20 Ga 	1 1/2” Angle</t>
        </is>
      </c>
      <c r="B154" s="41" t="inlineStr">
        <is>
          <t>201a</t>
        </is>
      </c>
      <c r="C154" s="44" t="n">
        <v>0.695</v>
      </c>
      <c r="D154" s="42" t="n"/>
      <c r="E154" s="41" t="inlineStr">
        <is>
          <t>201a</t>
        </is>
      </c>
      <c r="F154" s="41">
        <f>A154</f>
        <v/>
      </c>
      <c r="G154" s="42" t="n"/>
      <c r="H154" s="41" t="inlineStr">
        <is>
          <t>201a</t>
        </is>
      </c>
      <c r="I154" s="41" t="inlineStr">
        <is>
          <t>Lnft</t>
        </is>
      </c>
    </row>
    <row r="155" ht="21.25" customFormat="1" customHeight="1" s="39">
      <c r="A155" s="41" t="inlineStr">
        <is>
          <t>20 Ga 	2” Angle</t>
        </is>
      </c>
      <c r="B155" s="41" t="inlineStr">
        <is>
          <t>202a</t>
        </is>
      </c>
      <c r="C155" s="44" t="n">
        <v>0.885</v>
      </c>
      <c r="D155" s="42" t="n"/>
      <c r="E155" s="41" t="inlineStr">
        <is>
          <t>202a</t>
        </is>
      </c>
      <c r="F155" s="41">
        <f>A155</f>
        <v/>
      </c>
      <c r="G155" s="42" t="n"/>
      <c r="H155" s="41" t="inlineStr">
        <is>
          <t>202a</t>
        </is>
      </c>
      <c r="I155" s="41" t="inlineStr">
        <is>
          <t>Lnft</t>
        </is>
      </c>
    </row>
    <row r="156" ht="21.25" customFormat="1" customHeight="1" s="39">
      <c r="A156" s="41" t="inlineStr">
        <is>
          <t>20 Ga 	3” Angle</t>
        </is>
      </c>
      <c r="B156" s="41" t="inlineStr">
        <is>
          <t>203a</t>
        </is>
      </c>
      <c r="C156" s="44" t="n">
        <v>2.05</v>
      </c>
      <c r="D156" s="42" t="n"/>
      <c r="E156" s="41" t="inlineStr">
        <is>
          <t>203a</t>
        </is>
      </c>
      <c r="F156" s="41">
        <f>A156</f>
        <v/>
      </c>
      <c r="G156" s="42" t="n"/>
      <c r="H156" s="41" t="inlineStr">
        <is>
          <t>203a</t>
        </is>
      </c>
      <c r="I156" s="41" t="inlineStr">
        <is>
          <t>Lnft</t>
        </is>
      </c>
    </row>
    <row r="157" ht="21.25" customFormat="1" customHeight="1" s="39">
      <c r="A157" s="41" t="inlineStr">
        <is>
          <t>18 Ga 	1 1/2” Angle</t>
        </is>
      </c>
      <c r="B157" s="41" t="inlineStr">
        <is>
          <t>181a</t>
        </is>
      </c>
      <c r="C157" s="44" t="n">
        <v>1.304</v>
      </c>
      <c r="D157" s="42" t="n"/>
      <c r="E157" s="41" t="inlineStr">
        <is>
          <t>181a</t>
        </is>
      </c>
      <c r="F157" s="41">
        <f>A157</f>
        <v/>
      </c>
      <c r="G157" s="42" t="n"/>
      <c r="H157" s="41" t="inlineStr">
        <is>
          <t>181a</t>
        </is>
      </c>
      <c r="I157" s="41" t="inlineStr">
        <is>
          <t>Lnft</t>
        </is>
      </c>
    </row>
    <row r="158" ht="21.25" customFormat="1" customHeight="1" s="39">
      <c r="A158" s="41" t="inlineStr">
        <is>
          <t>18 Ga 	2” Angle</t>
        </is>
      </c>
      <c r="B158" s="41" t="inlineStr">
        <is>
          <t>182a</t>
        </is>
      </c>
      <c r="C158" s="44" t="n">
        <v>1.469</v>
      </c>
      <c r="D158" s="42" t="n"/>
      <c r="E158" s="41" t="inlineStr">
        <is>
          <t>182a</t>
        </is>
      </c>
      <c r="F158" s="41">
        <f>A158</f>
        <v/>
      </c>
      <c r="G158" s="42" t="n"/>
      <c r="H158" s="41" t="inlineStr">
        <is>
          <t>182a</t>
        </is>
      </c>
      <c r="I158" s="41" t="inlineStr">
        <is>
          <t>Lnft</t>
        </is>
      </c>
    </row>
    <row r="159" ht="21.25" customFormat="1" customHeight="1" s="39">
      <c r="A159" s="41" t="inlineStr">
        <is>
          <t>18 Ga 	3” Angle</t>
        </is>
      </c>
      <c r="B159" s="41" t="inlineStr">
        <is>
          <t>183a</t>
        </is>
      </c>
      <c r="C159" s="44" t="n">
        <v>3.1</v>
      </c>
      <c r="D159" s="42" t="n"/>
      <c r="E159" s="41" t="inlineStr">
        <is>
          <t>183a</t>
        </is>
      </c>
      <c r="F159" s="41">
        <f>A159</f>
        <v/>
      </c>
      <c r="G159" s="42" t="n"/>
      <c r="H159" s="41" t="inlineStr">
        <is>
          <t>183a</t>
        </is>
      </c>
      <c r="I159" s="41" t="inlineStr">
        <is>
          <t>Lnft</t>
        </is>
      </c>
    </row>
    <row r="160" ht="21.25" customFormat="1" customHeight="1" s="39">
      <c r="A160" s="41" t="inlineStr">
        <is>
          <t>25 Ga 	1” x 1” 1/2” Z-Bar</t>
        </is>
      </c>
      <c r="B160" s="41" t="inlineStr">
        <is>
          <t>251x1z</t>
        </is>
      </c>
      <c r="C160" s="44" t="inlineStr">
        <is>
          <t>?</t>
        </is>
      </c>
      <c r="D160" s="42" t="n"/>
      <c r="E160" s="41" t="inlineStr">
        <is>
          <t>251x1z</t>
        </is>
      </c>
      <c r="F160" s="41">
        <f>A160</f>
        <v/>
      </c>
      <c r="G160" s="42" t="n"/>
      <c r="H160" s="41" t="inlineStr">
        <is>
          <t>251x1z</t>
        </is>
      </c>
      <c r="I160" s="41" t="inlineStr">
        <is>
          <t>Lnft</t>
        </is>
      </c>
    </row>
    <row r="161" ht="21.25" customFormat="1" customHeight="1" s="39">
      <c r="A161" s="41" t="inlineStr">
        <is>
          <t>25 Ga 	1” x 2” Z-BAr</t>
        </is>
      </c>
      <c r="B161" s="41" t="inlineStr">
        <is>
          <t>251x2z</t>
        </is>
      </c>
      <c r="C161" s="44" t="inlineStr">
        <is>
          <t>?</t>
        </is>
      </c>
      <c r="D161" s="42" t="n"/>
      <c r="E161" s="41" t="inlineStr">
        <is>
          <t>251x2z</t>
        </is>
      </c>
      <c r="F161" s="41">
        <f>A161</f>
        <v/>
      </c>
      <c r="G161" s="42" t="n"/>
      <c r="H161" s="41" t="inlineStr">
        <is>
          <t>251x2z</t>
        </is>
      </c>
      <c r="I161" s="41" t="inlineStr">
        <is>
          <t>Lnft</t>
        </is>
      </c>
    </row>
    <row r="162" ht="21.25" customFormat="1" customHeight="1" s="39">
      <c r="A162" s="41" t="inlineStr">
        <is>
          <t>20 Ga 	1” x 1” 1/2” Z-Bar</t>
        </is>
      </c>
      <c r="B162" s="41" t="inlineStr">
        <is>
          <t>201x1z</t>
        </is>
      </c>
      <c r="C162" s="44" t="inlineStr">
        <is>
          <t>?</t>
        </is>
      </c>
      <c r="D162" s="42" t="n"/>
      <c r="E162" s="41" t="inlineStr">
        <is>
          <t>201x1z</t>
        </is>
      </c>
      <c r="F162" s="41">
        <f>A162</f>
        <v/>
      </c>
      <c r="G162" s="42" t="n"/>
      <c r="H162" s="41" t="inlineStr">
        <is>
          <t>201x1z</t>
        </is>
      </c>
      <c r="I162" s="41" t="inlineStr">
        <is>
          <t>Lnft</t>
        </is>
      </c>
    </row>
    <row r="163" ht="21.25" customFormat="1" customHeight="1" s="39">
      <c r="A163" s="41" t="inlineStr">
        <is>
          <t>20 Ga 	1” x 2” Z-BAr</t>
        </is>
      </c>
      <c r="B163" s="41" t="inlineStr">
        <is>
          <t>201x2z</t>
        </is>
      </c>
      <c r="C163" s="44" t="inlineStr">
        <is>
          <t>?</t>
        </is>
      </c>
      <c r="D163" s="42" t="n"/>
      <c r="E163" s="41" t="inlineStr">
        <is>
          <t>201x2z</t>
        </is>
      </c>
      <c r="F163" s="41">
        <f>A163</f>
        <v/>
      </c>
      <c r="G163" s="42" t="n"/>
      <c r="H163" s="41" t="inlineStr">
        <is>
          <t>201x2z</t>
        </is>
      </c>
      <c r="I163" s="41" t="inlineStr">
        <is>
          <t>Lnft</t>
        </is>
      </c>
    </row>
    <row r="164" ht="21.25" customFormat="1" customHeight="1" s="39">
      <c r="A164" s="41" t="inlineStr">
        <is>
          <t>20 Ga 	2” Flatstock</t>
        </is>
      </c>
      <c r="B164" s="41" t="inlineStr">
        <is>
          <t>202fs</t>
        </is>
      </c>
      <c r="C164" s="42" t="n">
        <v>0.615</v>
      </c>
      <c r="D164" s="42" t="n"/>
      <c r="E164" s="41" t="inlineStr">
        <is>
          <t>202fs</t>
        </is>
      </c>
      <c r="F164" s="41">
        <f>A164</f>
        <v/>
      </c>
      <c r="G164" s="42" t="n"/>
      <c r="H164" s="41" t="inlineStr">
        <is>
          <t>202fs</t>
        </is>
      </c>
      <c r="I164" s="41" t="inlineStr">
        <is>
          <t>Lnft</t>
        </is>
      </c>
    </row>
    <row r="165" ht="21.25" customFormat="1" customHeight="1" s="39">
      <c r="A165" s="41" t="inlineStr">
        <is>
          <t>20 Ga 	4” Flatstock</t>
        </is>
      </c>
      <c r="B165" s="41" t="inlineStr">
        <is>
          <t>204fs</t>
        </is>
      </c>
      <c r="C165" s="44" t="n">
        <v>0.925</v>
      </c>
      <c r="D165" s="42" t="n"/>
      <c r="E165" s="41" t="inlineStr">
        <is>
          <t>204fs</t>
        </is>
      </c>
      <c r="F165" s="41">
        <f>A165</f>
        <v/>
      </c>
      <c r="G165" s="42" t="n"/>
      <c r="H165" s="41" t="inlineStr">
        <is>
          <t>204fs</t>
        </is>
      </c>
      <c r="I165" s="41" t="inlineStr">
        <is>
          <t>Lnft</t>
        </is>
      </c>
    </row>
    <row r="166" ht="21.25" customFormat="1" customHeight="1" s="39">
      <c r="A166" s="41" t="inlineStr">
        <is>
          <t>20 Ga 	6” Flatstock</t>
        </is>
      </c>
      <c r="B166" s="41" t="inlineStr">
        <is>
          <t>206fs</t>
        </is>
      </c>
      <c r="C166" s="42" t="n">
        <v>2.409</v>
      </c>
      <c r="D166" s="42" t="n"/>
      <c r="E166" s="41" t="inlineStr">
        <is>
          <t>206fs</t>
        </is>
      </c>
      <c r="F166" s="41">
        <f>A166</f>
        <v/>
      </c>
      <c r="G166" s="42" t="n"/>
      <c r="H166" s="41" t="inlineStr">
        <is>
          <t>206fs</t>
        </is>
      </c>
      <c r="I166" s="41" t="inlineStr">
        <is>
          <t>Lnft</t>
        </is>
      </c>
    </row>
    <row r="167" ht="21.25" customFormat="1" customHeight="1" s="39">
      <c r="A167" s="41" t="inlineStr">
        <is>
          <t>18 Ga 	2” Flatstock</t>
        </is>
      </c>
      <c r="B167" s="41" t="inlineStr">
        <is>
          <t>182fs</t>
        </is>
      </c>
      <c r="C167" s="44" t="n"/>
      <c r="D167" s="42" t="n"/>
      <c r="E167" s="41" t="inlineStr">
        <is>
          <t>182fs</t>
        </is>
      </c>
      <c r="F167" s="41">
        <f>A167</f>
        <v/>
      </c>
      <c r="G167" s="42" t="n"/>
      <c r="H167" s="41" t="inlineStr">
        <is>
          <t>182fs</t>
        </is>
      </c>
      <c r="I167" s="41" t="inlineStr">
        <is>
          <t>Lnft</t>
        </is>
      </c>
    </row>
    <row r="168" ht="21.25" customFormat="1" customHeight="1" s="39">
      <c r="A168" s="41" t="inlineStr">
        <is>
          <t>18 Ga 	4” Flatstock</t>
        </is>
      </c>
      <c r="B168" s="41" t="inlineStr">
        <is>
          <t>184fs</t>
        </is>
      </c>
      <c r="C168" s="42" t="n"/>
      <c r="D168" s="42" t="n"/>
      <c r="E168" s="41" t="inlineStr">
        <is>
          <t>184fs</t>
        </is>
      </c>
      <c r="F168" s="41">
        <f>A168</f>
        <v/>
      </c>
      <c r="G168" s="42" t="n"/>
      <c r="H168" s="41" t="inlineStr">
        <is>
          <t>184fs</t>
        </is>
      </c>
      <c r="I168" s="41" t="inlineStr">
        <is>
          <t>Lnft</t>
        </is>
      </c>
    </row>
    <row r="169" ht="19.5" customFormat="1" customHeight="1" s="39">
      <c r="A169" s="41" t="inlineStr">
        <is>
          <t>18 Ga 	6” Flatstock</t>
        </is>
      </c>
      <c r="B169" s="41" t="inlineStr">
        <is>
          <t>186fs</t>
        </is>
      </c>
      <c r="C169" s="44" t="n"/>
      <c r="D169" s="42" t="n"/>
      <c r="E169" s="41" t="inlineStr">
        <is>
          <t>186fs</t>
        </is>
      </c>
      <c r="F169" s="41">
        <f>A169</f>
        <v/>
      </c>
      <c r="G169" s="42" t="n"/>
      <c r="H169" s="41" t="inlineStr">
        <is>
          <t>186fs</t>
        </is>
      </c>
      <c r="I169" s="41" t="inlineStr">
        <is>
          <t>Lnft</t>
        </is>
      </c>
    </row>
    <row r="170" ht="21.25" customFormat="1" customHeight="1" s="39">
      <c r="A170" s="41" t="inlineStr">
        <is>
          <t>Hanger Wire</t>
        </is>
      </c>
      <c r="B170" s="41" t="inlineStr">
        <is>
          <t>HW</t>
        </is>
      </c>
      <c r="C170" s="42" t="n">
        <v>0.61</v>
      </c>
      <c r="D170" s="42" t="n"/>
      <c r="E170" s="41" t="inlineStr">
        <is>
          <t>HW</t>
        </is>
      </c>
      <c r="F170" s="41">
        <f>A170</f>
        <v/>
      </c>
      <c r="G170" s="42" t="n"/>
      <c r="H170" s="41" t="inlineStr">
        <is>
          <t>HW</t>
        </is>
      </c>
      <c r="I170" s="41" t="inlineStr">
        <is>
          <t>Lnft</t>
        </is>
      </c>
    </row>
    <row r="171" ht="21.25" customFormat="1" customHeight="1" s="39">
      <c r="A171" s="41" t="inlineStr">
        <is>
          <t>9 Ga Hanger Wire</t>
        </is>
      </c>
      <c r="B171" s="41" t="inlineStr">
        <is>
          <t>9GHW</t>
        </is>
      </c>
      <c r="C171" s="44" t="n">
        <v>0.275</v>
      </c>
      <c r="D171" s="42" t="n"/>
      <c r="E171" s="41" t="inlineStr">
        <is>
          <t>9GHW</t>
        </is>
      </c>
      <c r="F171" s="41">
        <f>A171</f>
        <v/>
      </c>
      <c r="G171" s="42" t="n"/>
      <c r="H171" s="41" t="inlineStr">
        <is>
          <t>9GHW</t>
        </is>
      </c>
      <c r="I171" s="41" t="inlineStr">
        <is>
          <t>Lnft</t>
        </is>
      </c>
    </row>
    <row r="172" ht="21.25" customFormat="1" customHeight="1" s="39">
      <c r="A172" s="41" t="inlineStr">
        <is>
          <t>Pencil Rod</t>
        </is>
      </c>
      <c r="B172" s="41" t="inlineStr">
        <is>
          <t>Pr</t>
        </is>
      </c>
      <c r="C172" s="44" t="n">
        <v>0.187</v>
      </c>
      <c r="D172" s="42" t="n"/>
      <c r="E172" s="41" t="inlineStr">
        <is>
          <t>Pr</t>
        </is>
      </c>
      <c r="F172" s="41">
        <f>A172</f>
        <v/>
      </c>
      <c r="G172" s="42" t="n"/>
      <c r="H172" s="41" t="inlineStr">
        <is>
          <t>Pr</t>
        </is>
      </c>
      <c r="I172" s="41" t="inlineStr">
        <is>
          <t>Lnft</t>
        </is>
      </c>
    </row>
    <row r="173" ht="21.25" customFormat="1" customHeight="1" s="39">
      <c r="A173" s="41" t="inlineStr">
        <is>
          <t>Tie Wire</t>
        </is>
      </c>
      <c r="B173" s="41" t="inlineStr">
        <is>
          <t>Tw</t>
        </is>
      </c>
      <c r="C173" s="44" t="n">
        <v>0.2</v>
      </c>
      <c r="D173" s="42" t="n"/>
      <c r="E173" s="41" t="inlineStr">
        <is>
          <t>Tw</t>
        </is>
      </c>
      <c r="F173" s="41">
        <f>A173</f>
        <v/>
      </c>
      <c r="G173" s="42" t="n"/>
      <c r="H173" s="41" t="inlineStr">
        <is>
          <t>Tw</t>
        </is>
      </c>
      <c r="I173" s="41" t="inlineStr">
        <is>
          <t>Lnft</t>
        </is>
      </c>
    </row>
    <row r="174" ht="21.25" customFormat="1" customHeight="1" s="39">
      <c r="A174" s="41" t="inlineStr">
        <is>
          <t>Wood Backing</t>
        </is>
      </c>
      <c r="B174" s="41" t="inlineStr">
        <is>
          <t>Wb</t>
        </is>
      </c>
      <c r="C174" s="44" t="n">
        <v>0.25</v>
      </c>
      <c r="D174" s="42" t="n"/>
      <c r="E174" s="41" t="inlineStr">
        <is>
          <t>Wb</t>
        </is>
      </c>
      <c r="F174" s="41">
        <f>A174</f>
        <v/>
      </c>
      <c r="G174" s="42" t="n"/>
      <c r="H174" s="41" t="inlineStr">
        <is>
          <t>Wb</t>
        </is>
      </c>
      <c r="I174" s="41" t="inlineStr">
        <is>
          <t>Lnft</t>
        </is>
      </c>
    </row>
    <row r="175" ht="21.25" customFormat="1" customHeight="1" s="39">
      <c r="A175" s="41" t="inlineStr">
        <is>
          <t>9 Ga Security Mesh</t>
        </is>
      </c>
      <c r="B175" s="41" t="inlineStr">
        <is>
          <t>SM</t>
        </is>
      </c>
      <c r="C175" s="44" t="n">
        <v>1.955</v>
      </c>
      <c r="D175" s="42" t="n"/>
      <c r="E175" s="41" t="inlineStr">
        <is>
          <t>SM</t>
        </is>
      </c>
      <c r="F175" s="41">
        <f>A175</f>
        <v/>
      </c>
      <c r="G175" s="42" t="n"/>
      <c r="H175" s="41" t="inlineStr">
        <is>
          <t>SM</t>
        </is>
      </c>
      <c r="I175" s="41" t="inlineStr">
        <is>
          <t>Lnft</t>
        </is>
      </c>
    </row>
    <row r="176" ht="21.25" customFormat="1" customHeight="1" s="39">
      <c r="A176" s="41" t="n"/>
      <c r="B176" s="41" t="n"/>
      <c r="C176" s="44" t="n"/>
      <c r="D176" s="42" t="n"/>
      <c r="E176" s="41" t="n"/>
      <c r="F176" s="41">
        <f>A176</f>
        <v/>
      </c>
      <c r="G176" s="42" t="n"/>
      <c r="H176" s="41" t="n"/>
      <c r="I176" s="41" t="inlineStr">
        <is>
          <t>Lnft</t>
        </is>
      </c>
    </row>
    <row r="177" ht="21.25" customFormat="1" customHeight="1" s="39">
      <c r="A177" s="41" t="inlineStr">
        <is>
          <t xml:space="preserve">25 Ga 	2 1/2” CT Stud </t>
        </is>
      </c>
      <c r="B177" s="41" t="inlineStr">
        <is>
          <t>252ct</t>
        </is>
      </c>
      <c r="C177" s="44" t="n">
        <v>2.373</v>
      </c>
      <c r="D177" s="42" t="n"/>
      <c r="E177" s="41" t="inlineStr">
        <is>
          <t>252ct</t>
        </is>
      </c>
      <c r="F177" s="41">
        <f>A177</f>
        <v/>
      </c>
      <c r="G177" s="42" t="n"/>
      <c r="H177" s="41" t="inlineStr">
        <is>
          <t>252ct</t>
        </is>
      </c>
      <c r="I177" s="41" t="inlineStr">
        <is>
          <t>Lnft</t>
        </is>
      </c>
    </row>
    <row r="178" ht="21.25" customFormat="1" customHeight="1" s="39">
      <c r="A178" s="41" t="inlineStr">
        <is>
          <t>25 Ga 	2 1/2” J Track</t>
        </is>
      </c>
      <c r="B178" s="41" t="inlineStr">
        <is>
          <t>252jt</t>
        </is>
      </c>
      <c r="C178" s="42" t="n">
        <v>1.147</v>
      </c>
      <c r="D178" s="42" t="n"/>
      <c r="E178" s="41" t="inlineStr">
        <is>
          <t>252jt</t>
        </is>
      </c>
      <c r="F178" s="41">
        <f>A178</f>
        <v/>
      </c>
      <c r="G178" s="42" t="n"/>
      <c r="H178" s="41" t="inlineStr">
        <is>
          <t>252jt</t>
        </is>
      </c>
      <c r="I178" s="41" t="inlineStr">
        <is>
          <t>Lnft</t>
        </is>
      </c>
    </row>
    <row r="179" ht="21.25" customFormat="1" customHeight="1" s="39">
      <c r="A179" s="41" t="inlineStr">
        <is>
          <t>25 Ga 	4” CT Stud</t>
        </is>
      </c>
      <c r="B179" s="41" t="inlineStr">
        <is>
          <t>254ct</t>
        </is>
      </c>
      <c r="C179" s="42" t="n">
        <v>2.82</v>
      </c>
      <c r="D179" s="42" t="n"/>
      <c r="E179" s="41" t="inlineStr">
        <is>
          <t>254ct</t>
        </is>
      </c>
      <c r="F179" s="41">
        <f>A179</f>
        <v/>
      </c>
      <c r="G179" s="42" t="n"/>
      <c r="H179" s="41" t="inlineStr">
        <is>
          <t>254ct</t>
        </is>
      </c>
      <c r="I179" s="41" t="inlineStr">
        <is>
          <t>Lnft</t>
        </is>
      </c>
    </row>
    <row r="180" ht="21.25" customFormat="1" customHeight="1" s="39">
      <c r="A180" s="41" t="inlineStr">
        <is>
          <t>25 Ga 	4” J Track</t>
        </is>
      </c>
      <c r="B180" s="41" t="inlineStr">
        <is>
          <t>254jt</t>
        </is>
      </c>
      <c r="C180" s="44" t="n">
        <v>1.448</v>
      </c>
      <c r="D180" s="42" t="n"/>
      <c r="E180" s="41" t="inlineStr">
        <is>
          <t>254jt</t>
        </is>
      </c>
      <c r="F180" s="41">
        <f>A180</f>
        <v/>
      </c>
      <c r="G180" s="42" t="n"/>
      <c r="H180" s="41" t="inlineStr">
        <is>
          <t>254jt</t>
        </is>
      </c>
      <c r="I180" s="41" t="inlineStr">
        <is>
          <t>Lnft</t>
        </is>
      </c>
    </row>
    <row r="181" ht="21.25" customFormat="1" customHeight="1" s="39">
      <c r="A181" s="41" t="inlineStr">
        <is>
          <t>25 Ga 	6” CT Stud</t>
        </is>
      </c>
      <c r="B181" s="41" t="inlineStr">
        <is>
          <t>256ct</t>
        </is>
      </c>
      <c r="C181" s="44" t="inlineStr">
        <is>
          <t>?</t>
        </is>
      </c>
      <c r="D181" s="42" t="n"/>
      <c r="E181" s="41" t="inlineStr">
        <is>
          <t>256ct</t>
        </is>
      </c>
      <c r="F181" s="41">
        <f>A181</f>
        <v/>
      </c>
      <c r="G181" s="42" t="n"/>
      <c r="H181" s="41" t="inlineStr">
        <is>
          <t>256ct</t>
        </is>
      </c>
      <c r="I181" s="41" t="inlineStr">
        <is>
          <t>Lnft</t>
        </is>
      </c>
    </row>
    <row r="182" ht="21.25" customFormat="1" customHeight="1" s="39">
      <c r="A182" s="41" t="inlineStr">
        <is>
          <t>25 Ga 	6” J Track</t>
        </is>
      </c>
      <c r="B182" s="41" t="inlineStr">
        <is>
          <t>256jt</t>
        </is>
      </c>
      <c r="C182" s="44" t="inlineStr">
        <is>
          <t>?</t>
        </is>
      </c>
      <c r="D182" s="42" t="n"/>
      <c r="E182" s="41" t="inlineStr">
        <is>
          <t>256jt</t>
        </is>
      </c>
      <c r="F182" s="41">
        <f>A182</f>
        <v/>
      </c>
      <c r="G182" s="42" t="n"/>
      <c r="H182" s="41" t="inlineStr">
        <is>
          <t>256jt</t>
        </is>
      </c>
      <c r="I182" s="41" t="inlineStr">
        <is>
          <t>Lnft</t>
        </is>
      </c>
    </row>
    <row r="183" ht="21.25" customFormat="1" customHeight="1" s="39">
      <c r="A183" s="41" t="inlineStr">
        <is>
          <t xml:space="preserve">20 Ga 	2 1/2” CT Stud </t>
        </is>
      </c>
      <c r="B183" s="41" t="inlineStr">
        <is>
          <t>202ct</t>
        </is>
      </c>
      <c r="C183" s="44" t="n">
        <v>3.847</v>
      </c>
      <c r="D183" s="42" t="n"/>
      <c r="E183" s="41" t="inlineStr">
        <is>
          <t>202ct</t>
        </is>
      </c>
      <c r="F183" s="41">
        <f>A183</f>
        <v/>
      </c>
      <c r="G183" s="42" t="n"/>
      <c r="H183" s="41" t="inlineStr">
        <is>
          <t>202ct</t>
        </is>
      </c>
      <c r="I183" s="41" t="inlineStr">
        <is>
          <t>Lnft</t>
        </is>
      </c>
    </row>
    <row r="184" ht="21.25" customFormat="1" customHeight="1" s="39">
      <c r="A184" s="41" t="inlineStr">
        <is>
          <t>20 Ga 	2 1/2” J Track</t>
        </is>
      </c>
      <c r="B184" s="41" t="inlineStr">
        <is>
          <t>202jt</t>
        </is>
      </c>
      <c r="C184" s="44" t="n">
        <v>1.98</v>
      </c>
      <c r="D184" s="42" t="n"/>
      <c r="E184" s="41" t="inlineStr">
        <is>
          <t>202jt</t>
        </is>
      </c>
      <c r="F184" s="41">
        <f>A184</f>
        <v/>
      </c>
      <c r="G184" s="42" t="n"/>
      <c r="H184" s="41" t="inlineStr">
        <is>
          <t>202jt</t>
        </is>
      </c>
      <c r="I184" s="41" t="inlineStr">
        <is>
          <t>Lnft</t>
        </is>
      </c>
    </row>
    <row r="185" ht="21.25" customFormat="1" customHeight="1" s="39">
      <c r="A185" s="41" t="inlineStr">
        <is>
          <t>20 Ga 	4” CT Stud</t>
        </is>
      </c>
      <c r="B185" s="41" t="inlineStr">
        <is>
          <t>204ct</t>
        </is>
      </c>
      <c r="C185" s="44" t="n">
        <v>4.677</v>
      </c>
      <c r="D185" s="42" t="n"/>
      <c r="E185" s="41" t="inlineStr">
        <is>
          <t>204ct</t>
        </is>
      </c>
      <c r="F185" s="41">
        <f>A185</f>
        <v/>
      </c>
      <c r="G185" s="42" t="n"/>
      <c r="H185" s="41" t="inlineStr">
        <is>
          <t>204ct</t>
        </is>
      </c>
      <c r="I185" s="41" t="inlineStr">
        <is>
          <t>Lnft</t>
        </is>
      </c>
    </row>
    <row r="186" ht="21.25" customFormat="1" customHeight="1" s="39">
      <c r="A186" s="41" t="inlineStr">
        <is>
          <t>20 Ga 	4” J Track</t>
        </is>
      </c>
      <c r="B186" s="41" t="inlineStr">
        <is>
          <t>204jt</t>
        </is>
      </c>
      <c r="C186" s="42" t="n">
        <v>2.88</v>
      </c>
      <c r="D186" s="42" t="n"/>
      <c r="E186" s="41" t="inlineStr">
        <is>
          <t>204jt</t>
        </is>
      </c>
      <c r="F186" s="41">
        <f>A186</f>
        <v/>
      </c>
      <c r="G186" s="42" t="n"/>
      <c r="H186" s="41" t="inlineStr">
        <is>
          <t>204jt</t>
        </is>
      </c>
      <c r="I186" s="41" t="inlineStr">
        <is>
          <t>Lnft</t>
        </is>
      </c>
    </row>
    <row r="187" ht="21.25" customFormat="1" customHeight="1" s="39">
      <c r="A187" s="41" t="inlineStr">
        <is>
          <t>20 Ga 	6” CT Stud</t>
        </is>
      </c>
      <c r="B187" s="41" t="inlineStr">
        <is>
          <t>206ct</t>
        </is>
      </c>
      <c r="C187" s="44" t="n">
        <v>4.686</v>
      </c>
      <c r="D187" s="42" t="n"/>
      <c r="E187" s="41" t="inlineStr">
        <is>
          <t>206ct</t>
        </is>
      </c>
      <c r="F187" s="41">
        <f>A187</f>
        <v/>
      </c>
      <c r="G187" s="42" t="n"/>
      <c r="H187" s="41" t="inlineStr">
        <is>
          <t>206ct</t>
        </is>
      </c>
      <c r="I187" s="41" t="inlineStr">
        <is>
          <t>Lnft</t>
        </is>
      </c>
    </row>
    <row r="188" ht="21.25" customFormat="1" customHeight="1" s="39">
      <c r="A188" s="41" t="inlineStr">
        <is>
          <t>20 Ga 	6” J Track</t>
        </is>
      </c>
      <c r="B188" s="41" t="inlineStr">
        <is>
          <t>206jt</t>
        </is>
      </c>
      <c r="C188" s="44" t="n">
        <v>2.805</v>
      </c>
      <c r="D188" s="42" t="n"/>
      <c r="E188" s="41" t="inlineStr">
        <is>
          <t>206jt</t>
        </is>
      </c>
      <c r="F188" s="41">
        <f>A188</f>
        <v/>
      </c>
      <c r="G188" s="42" t="n"/>
      <c r="H188" s="41" t="inlineStr">
        <is>
          <t>206jt</t>
        </is>
      </c>
      <c r="I188" s="41" t="inlineStr">
        <is>
          <t>Lnft</t>
        </is>
      </c>
    </row>
    <row r="189" ht="21.25" customFormat="1" customHeight="1" s="39">
      <c r="A189" s="41" t="n"/>
      <c r="B189" s="41" t="n"/>
      <c r="C189" s="44" t="n"/>
      <c r="D189" s="42" t="n"/>
      <c r="E189" s="41" t="n"/>
      <c r="F189" s="41">
        <f>A189</f>
        <v/>
      </c>
      <c r="G189" s="42" t="n"/>
      <c r="H189" s="41" t="n"/>
      <c r="I189" s="41" t="n"/>
    </row>
    <row r="190" ht="21.25" customFormat="1" customHeight="1" s="39">
      <c r="A190" s="41" t="n"/>
      <c r="B190" s="41" t="n"/>
      <c r="C190" s="44" t="n"/>
      <c r="D190" s="42" t="n"/>
      <c r="E190" s="41" t="n"/>
      <c r="F190" s="41">
        <f>A190</f>
        <v/>
      </c>
      <c r="G190" s="42" t="n"/>
      <c r="H190" s="41" t="n"/>
      <c r="I190" s="41" t="n"/>
    </row>
    <row r="191" ht="21.25" customFormat="1" customHeight="1" s="39">
      <c r="A191" s="41" t="n"/>
      <c r="B191" s="41" t="n"/>
      <c r="C191" s="44" t="n"/>
      <c r="D191" s="42" t="n"/>
      <c r="E191" s="41" t="n"/>
      <c r="F191" s="41">
        <f>A191</f>
        <v/>
      </c>
      <c r="G191" s="42" t="n"/>
      <c r="H191" s="41" t="n"/>
      <c r="I191" s="41" t="n"/>
    </row>
    <row r="192" ht="21.25" customFormat="1" customHeight="1" s="39">
      <c r="A192" s="41" t="inlineStr">
        <is>
          <t>Yellow Box</t>
        </is>
      </c>
      <c r="B192" s="41" t="inlineStr">
        <is>
          <t>mb</t>
        </is>
      </c>
      <c r="C192" s="44" t="n">
        <v>25</v>
      </c>
      <c r="D192" s="42" t="n"/>
      <c r="E192" s="41" t="inlineStr">
        <is>
          <t>mb</t>
        </is>
      </c>
      <c r="F192" s="41">
        <f>A192</f>
        <v/>
      </c>
      <c r="G192" s="42" t="n"/>
      <c r="H192" s="41" t="inlineStr">
        <is>
          <t>mb</t>
        </is>
      </c>
      <c r="I192" s="41" t="inlineStr">
        <is>
          <t>Box</t>
        </is>
      </c>
    </row>
    <row r="193" ht="21.25" customFormat="1" customHeight="1" s="39">
      <c r="A193" s="41" t="inlineStr">
        <is>
          <t>Yellow Pail</t>
        </is>
      </c>
      <c r="B193" s="41" t="inlineStr">
        <is>
          <t>mp</t>
        </is>
      </c>
      <c r="C193" s="42" t="n">
        <v>48</v>
      </c>
      <c r="D193" s="42" t="n"/>
      <c r="E193" s="41" t="inlineStr">
        <is>
          <t>mp</t>
        </is>
      </c>
      <c r="F193" s="41">
        <f>A193</f>
        <v/>
      </c>
      <c r="G193" s="42" t="n"/>
      <c r="H193" s="41" t="inlineStr">
        <is>
          <t>mp</t>
        </is>
      </c>
      <c r="I193" s="41" t="inlineStr">
        <is>
          <t>Pail</t>
        </is>
      </c>
    </row>
    <row r="194" ht="21.25" customFormat="1" customHeight="1" s="39">
      <c r="A194" s="41" t="n"/>
      <c r="B194" s="41" t="n"/>
      <c r="C194" s="42" t="n"/>
      <c r="D194" s="42" t="n"/>
      <c r="E194" s="41" t="n"/>
      <c r="F194" s="41">
        <f>A194</f>
        <v/>
      </c>
      <c r="G194" s="42" t="n"/>
      <c r="H194" s="41" t="n"/>
      <c r="I194" s="41" t="n"/>
    </row>
    <row r="195" ht="21.25" customFormat="1" customHeight="1" s="39">
      <c r="A195" s="41" t="inlineStr">
        <is>
          <t>Hamilton UtraFill</t>
        </is>
      </c>
      <c r="B195" s="41" t="inlineStr">
        <is>
          <t>huf</t>
        </is>
      </c>
      <c r="C195" s="44" t="n">
        <v>32.83</v>
      </c>
      <c r="D195" s="42" t="n"/>
      <c r="E195" s="41" t="inlineStr">
        <is>
          <t>huf</t>
        </is>
      </c>
      <c r="F195" s="41">
        <f>A195</f>
        <v/>
      </c>
      <c r="G195" s="42" t="n"/>
      <c r="H195" s="41" t="inlineStr">
        <is>
          <t>huf</t>
        </is>
      </c>
      <c r="I195" s="41" t="inlineStr">
        <is>
          <t>Lnft</t>
        </is>
      </c>
    </row>
    <row r="196" ht="21.25" customFormat="1" customHeight="1" s="39">
      <c r="A196" s="41" t="inlineStr">
        <is>
          <t>Hamilton UltraCeil</t>
        </is>
      </c>
      <c r="B196" s="41" t="inlineStr">
        <is>
          <t>huc</t>
        </is>
      </c>
      <c r="C196" s="44" t="n">
        <v>40</v>
      </c>
      <c r="D196" s="42" t="n"/>
      <c r="E196" s="41" t="inlineStr">
        <is>
          <t>huc</t>
        </is>
      </c>
      <c r="F196" s="41">
        <f>A196</f>
        <v/>
      </c>
      <c r="G196" s="42" t="n"/>
      <c r="H196" s="41" t="inlineStr">
        <is>
          <t>huc</t>
        </is>
      </c>
      <c r="I196" s="41" t="inlineStr">
        <is>
          <t>Lnft</t>
        </is>
      </c>
    </row>
    <row r="197" ht="21.25" customFormat="1" customHeight="1" s="39">
      <c r="A197" s="41" t="inlineStr">
        <is>
          <t>Paper Joint Tape Roll</t>
        </is>
      </c>
      <c r="B197" s="41" t="inlineStr">
        <is>
          <t>jt</t>
        </is>
      </c>
      <c r="C197" s="44" t="n">
        <v>10</v>
      </c>
      <c r="D197" s="42" t="n"/>
      <c r="E197" s="41" t="inlineStr">
        <is>
          <t>jt</t>
        </is>
      </c>
      <c r="F197" s="41">
        <f>A197</f>
        <v/>
      </c>
      <c r="G197" s="42" t="n"/>
      <c r="H197" s="41" t="inlineStr">
        <is>
          <t>jt</t>
        </is>
      </c>
      <c r="I197" s="41" t="inlineStr">
        <is>
          <t>Lnft</t>
        </is>
      </c>
    </row>
    <row r="198" ht="21.25" customFormat="1" customHeight="1" s="39">
      <c r="A198" s="41" t="inlineStr">
        <is>
          <t>Paper Corner Bead</t>
        </is>
      </c>
      <c r="B198" s="41" t="inlineStr">
        <is>
          <t>cb</t>
        </is>
      </c>
      <c r="C198" s="44" t="n">
        <v>0.43</v>
      </c>
      <c r="D198" s="42" t="n"/>
      <c r="E198" s="41" t="inlineStr">
        <is>
          <t>cb</t>
        </is>
      </c>
      <c r="F198" s="41">
        <f>A198</f>
        <v/>
      </c>
      <c r="G198" s="42" t="n"/>
      <c r="H198" s="41" t="inlineStr">
        <is>
          <t>cb</t>
        </is>
      </c>
      <c r="I198" s="41" t="inlineStr">
        <is>
          <t>Lnft</t>
        </is>
      </c>
    </row>
    <row r="199" ht="21.25" customFormat="1" customHeight="1" s="39">
      <c r="A199" s="41" t="inlineStr">
        <is>
          <t>Tear Away Bead</t>
        </is>
      </c>
      <c r="B199" s="41" t="inlineStr">
        <is>
          <t>ta</t>
        </is>
      </c>
      <c r="C199" s="44" t="n">
        <v>0.404</v>
      </c>
      <c r="D199" s="42" t="n"/>
      <c r="E199" s="41" t="inlineStr">
        <is>
          <t>ta</t>
        </is>
      </c>
      <c r="F199" s="41">
        <f>A199</f>
        <v/>
      </c>
      <c r="G199" s="42" t="n"/>
      <c r="H199" s="41" t="inlineStr">
        <is>
          <t>ta</t>
        </is>
      </c>
      <c r="I199" s="41" t="inlineStr">
        <is>
          <t>Lnft</t>
        </is>
      </c>
    </row>
    <row r="200" ht="21.25" customFormat="1" customHeight="1" s="39">
      <c r="A200" s="41" t="inlineStr">
        <is>
          <t>1/2” Paper L Bead</t>
        </is>
      </c>
      <c r="B200" s="41" t="inlineStr">
        <is>
          <t>12pl</t>
        </is>
      </c>
      <c r="C200" s="44" t="n">
        <v>0.5649999999999999</v>
      </c>
      <c r="D200" s="42" t="n"/>
      <c r="E200" s="41" t="inlineStr">
        <is>
          <t>12pl</t>
        </is>
      </c>
      <c r="F200" s="41">
        <f>A200</f>
        <v/>
      </c>
      <c r="G200" s="42" t="n"/>
      <c r="H200" s="41" t="inlineStr">
        <is>
          <t>12pl</t>
        </is>
      </c>
      <c r="I200" s="41" t="inlineStr">
        <is>
          <t>Lnft</t>
        </is>
      </c>
    </row>
    <row r="201" ht="21.25" customFormat="1" customHeight="1" s="39">
      <c r="A201" s="41" t="inlineStr">
        <is>
          <t>5/8” Paper L Bead</t>
        </is>
      </c>
      <c r="B201" s="41" t="inlineStr">
        <is>
          <t>58pl</t>
        </is>
      </c>
      <c r="C201" s="44" t="n">
        <v>0.5679999999999999</v>
      </c>
      <c r="D201" s="42" t="n"/>
      <c r="E201" s="41" t="inlineStr">
        <is>
          <t>58pl</t>
        </is>
      </c>
      <c r="F201" s="41">
        <f>A201</f>
        <v/>
      </c>
      <c r="G201" s="42" t="n"/>
      <c r="H201" s="41" t="inlineStr">
        <is>
          <t>58pl</t>
        </is>
      </c>
      <c r="I201" s="41" t="inlineStr">
        <is>
          <t>Lnft</t>
        </is>
      </c>
    </row>
    <row r="202" ht="21.25" customFormat="1" customHeight="1" s="39">
      <c r="A202" s="41" t="inlineStr">
        <is>
          <t>1/2” Plastic J Bead</t>
        </is>
      </c>
      <c r="B202" s="41" t="inlineStr">
        <is>
          <t>12pj</t>
        </is>
      </c>
      <c r="C202" s="44" t="n">
        <v>0.275</v>
      </c>
      <c r="D202" s="42" t="n"/>
      <c r="E202" s="41" t="inlineStr">
        <is>
          <t>12pj</t>
        </is>
      </c>
      <c r="F202" s="41">
        <f>A202</f>
        <v/>
      </c>
      <c r="G202" s="42" t="n"/>
      <c r="H202" s="41" t="inlineStr">
        <is>
          <t>12pj</t>
        </is>
      </c>
      <c r="I202" s="41" t="inlineStr">
        <is>
          <t>Lnft</t>
        </is>
      </c>
    </row>
    <row r="203" ht="21.25" customFormat="1" customHeight="1" s="39">
      <c r="A203" s="46" t="inlineStr">
        <is>
          <t>5/8” Plastic J Bead</t>
        </is>
      </c>
      <c r="B203" s="41" t="inlineStr">
        <is>
          <t>58pj</t>
        </is>
      </c>
      <c r="C203" s="44" t="n">
        <v>0.335</v>
      </c>
      <c r="D203" s="42" t="n"/>
      <c r="E203" s="41" t="inlineStr">
        <is>
          <t>58pj</t>
        </is>
      </c>
      <c r="F203" s="41">
        <f>A203</f>
        <v/>
      </c>
      <c r="G203" s="42" t="n"/>
      <c r="H203" s="41" t="inlineStr">
        <is>
          <t>58pj</t>
        </is>
      </c>
      <c r="I203" s="41" t="inlineStr">
        <is>
          <t>Lnft</t>
        </is>
      </c>
    </row>
    <row r="204" ht="21.25" customFormat="1" customHeight="1" s="39">
      <c r="A204" s="46" t="inlineStr">
        <is>
          <t>1/2” Paper J Bead</t>
        </is>
      </c>
      <c r="B204" s="41" t="inlineStr">
        <is>
          <t>12pj</t>
        </is>
      </c>
      <c r="C204" s="44" t="n">
        <v>0.705</v>
      </c>
      <c r="D204" s="42" t="n"/>
      <c r="E204" s="41" t="inlineStr">
        <is>
          <t>12pj</t>
        </is>
      </c>
      <c r="F204" s="41">
        <f>A204</f>
        <v/>
      </c>
      <c r="G204" s="42" t="n"/>
      <c r="H204" s="41" t="inlineStr">
        <is>
          <t>12pj</t>
        </is>
      </c>
      <c r="I204" s="41" t="inlineStr">
        <is>
          <t>Lnft</t>
        </is>
      </c>
    </row>
    <row r="205" ht="21.25" customFormat="1" customHeight="1" s="39">
      <c r="A205" s="41" t="inlineStr">
        <is>
          <t>5/8” Paper J Bead</t>
        </is>
      </c>
      <c r="B205" s="41" t="inlineStr">
        <is>
          <t>58pj</t>
        </is>
      </c>
      <c r="C205" s="44" t="n">
        <v>0.705</v>
      </c>
      <c r="D205" s="42" t="n"/>
      <c r="E205" s="41" t="inlineStr">
        <is>
          <t>58pj</t>
        </is>
      </c>
      <c r="F205" s="41">
        <f>A205</f>
        <v/>
      </c>
      <c r="G205" s="42" t="n"/>
      <c r="H205" s="41" t="inlineStr">
        <is>
          <t>58pj</t>
        </is>
      </c>
      <c r="I205" s="41" t="inlineStr">
        <is>
          <t>Lnft</t>
        </is>
      </c>
    </row>
    <row r="206" ht="21.25" customFormat="1" customHeight="1" s="39">
      <c r="A206" s="46" t="inlineStr">
        <is>
          <t>No Coat 325</t>
        </is>
      </c>
      <c r="B206" s="41" t="inlineStr">
        <is>
          <t>nc325</t>
        </is>
      </c>
      <c r="C206" s="44" t="n">
        <v>80.56999999999999</v>
      </c>
      <c r="D206" s="42" t="n"/>
      <c r="E206" s="41" t="inlineStr">
        <is>
          <t>nc325</t>
        </is>
      </c>
      <c r="F206" s="41">
        <f>A206</f>
        <v/>
      </c>
      <c r="G206" s="42" t="n"/>
      <c r="H206" s="41" t="inlineStr">
        <is>
          <t>nc325</t>
        </is>
      </c>
      <c r="I206" s="41" t="inlineStr">
        <is>
          <t>Lnft</t>
        </is>
      </c>
    </row>
    <row r="207" ht="21.25" customFormat="1" customHeight="1" s="39">
      <c r="A207" s="41" t="inlineStr">
        <is>
          <t>No Coat 450</t>
        </is>
      </c>
      <c r="B207" s="41" t="inlineStr">
        <is>
          <t>nc450</t>
        </is>
      </c>
      <c r="C207" s="44" t="n">
        <v>139.82</v>
      </c>
      <c r="D207" s="42" t="n"/>
      <c r="E207" s="41" t="inlineStr">
        <is>
          <t>nc450</t>
        </is>
      </c>
      <c r="F207" s="41">
        <f>A207</f>
        <v/>
      </c>
      <c r="G207" s="42" t="n"/>
      <c r="H207" s="41" t="inlineStr">
        <is>
          <t>nc450</t>
        </is>
      </c>
      <c r="I207" s="41" t="inlineStr">
        <is>
          <t>Lnft</t>
        </is>
      </c>
    </row>
    <row r="208" ht="21.25" customFormat="1" customHeight="1" s="39">
      <c r="A208" s="41" t="n"/>
      <c r="B208" s="41" t="n"/>
      <c r="C208" s="44" t="n"/>
      <c r="D208" s="42" t="n"/>
      <c r="E208" s="41" t="n">
        <v>0</v>
      </c>
      <c r="F208" s="41">
        <f>A208</f>
        <v/>
      </c>
      <c r="G208" s="42" t="n"/>
      <c r="H208" s="41" t="n">
        <v>0</v>
      </c>
      <c r="I208" s="41" t="inlineStr">
        <is>
          <t>Pcs</t>
        </is>
      </c>
    </row>
    <row r="209" ht="21.25" customFormat="1" customHeight="1" s="39">
      <c r="A209" s="41" t="n"/>
      <c r="B209" s="41" t="n"/>
      <c r="C209" s="44" t="n"/>
      <c r="D209" s="42" t="n"/>
      <c r="E209" s="41" t="n"/>
      <c r="F209" s="41">
        <f>A209</f>
        <v/>
      </c>
      <c r="G209" s="42" t="n"/>
      <c r="H209" s="41" t="n"/>
      <c r="I209" s="41" t="inlineStr">
        <is>
          <t>Pcs</t>
        </is>
      </c>
    </row>
    <row r="210" ht="21.25" customFormat="1" customHeight="1" s="39">
      <c r="A210" s="41" t="inlineStr">
        <is>
          <t>Main T</t>
        </is>
      </c>
      <c r="B210" s="41" t="inlineStr">
        <is>
          <t>mt</t>
        </is>
      </c>
      <c r="C210" s="44" t="n">
        <v>0.99</v>
      </c>
      <c r="D210" s="42" t="n"/>
      <c r="E210" s="41" t="inlineStr">
        <is>
          <t>mt</t>
        </is>
      </c>
      <c r="F210" s="41">
        <f>A210</f>
        <v/>
      </c>
      <c r="G210" s="42" t="n"/>
      <c r="H210" s="41" t="inlineStr">
        <is>
          <t>mt</t>
        </is>
      </c>
      <c r="I210" s="41" t="inlineStr">
        <is>
          <t>Pcs</t>
        </is>
      </c>
    </row>
    <row r="211" ht="21.25" customFormat="1" customHeight="1" s="39">
      <c r="A211" s="41" t="inlineStr">
        <is>
          <t>5’ Cross T</t>
        </is>
      </c>
      <c r="B211" s="41" t="inlineStr">
        <is>
          <t>5ct</t>
        </is>
      </c>
      <c r="C211" s="44" t="n">
        <v>1.139</v>
      </c>
      <c r="D211" s="42" t="n"/>
      <c r="E211" s="41" t="inlineStr">
        <is>
          <t>5ct</t>
        </is>
      </c>
      <c r="F211" s="41">
        <f>A211</f>
        <v/>
      </c>
      <c r="G211" s="42" t="n"/>
      <c r="H211" s="41" t="inlineStr">
        <is>
          <t>5ct</t>
        </is>
      </c>
      <c r="I211" s="41" t="inlineStr">
        <is>
          <t>Pcs</t>
        </is>
      </c>
    </row>
    <row r="212" ht="21.25" customFormat="1" customHeight="1" s="39">
      <c r="A212" s="41" t="inlineStr">
        <is>
          <t>4’ Cross T</t>
        </is>
      </c>
      <c r="B212" s="41" t="inlineStr">
        <is>
          <t>4ct</t>
        </is>
      </c>
      <c r="C212" s="44" t="n">
        <v>0.9</v>
      </c>
      <c r="D212" s="42" t="n"/>
      <c r="E212" s="41" t="inlineStr">
        <is>
          <t>4ct</t>
        </is>
      </c>
      <c r="F212" s="41">
        <f>A212</f>
        <v/>
      </c>
      <c r="G212" s="42" t="n"/>
      <c r="H212" s="41" t="inlineStr">
        <is>
          <t>4ct</t>
        </is>
      </c>
      <c r="I212" s="41" t="inlineStr">
        <is>
          <t>Pcs</t>
        </is>
      </c>
    </row>
    <row r="213" ht="21.25" customFormat="1" customHeight="1" s="39">
      <c r="A213" s="41" t="inlineStr">
        <is>
          <t>2’ Cross T</t>
        </is>
      </c>
      <c r="B213" s="41" t="inlineStr">
        <is>
          <t>2ct</t>
        </is>
      </c>
      <c r="C213" s="44" t="n">
        <v>0.9</v>
      </c>
      <c r="D213" s="42" t="n"/>
      <c r="E213" s="41" t="inlineStr">
        <is>
          <t>2ct</t>
        </is>
      </c>
      <c r="F213" s="41">
        <f>A213</f>
        <v/>
      </c>
      <c r="G213" s="42" t="n"/>
      <c r="H213" s="41" t="inlineStr">
        <is>
          <t>2ct</t>
        </is>
      </c>
      <c r="I213" s="41" t="inlineStr">
        <is>
          <t>Pcs</t>
        </is>
      </c>
    </row>
    <row r="214" ht="21.25" customFormat="1" customHeight="1" s="39">
      <c r="A214" s="41" t="inlineStr">
        <is>
          <t>Main 9/16" T</t>
        </is>
      </c>
      <c r="B214" s="41" t="inlineStr">
        <is>
          <t>flmt</t>
        </is>
      </c>
      <c r="C214" s="44" t="n">
        <v>1.228</v>
      </c>
      <c r="D214" s="42" t="n"/>
      <c r="E214" s="41" t="inlineStr">
        <is>
          <t>flmt</t>
        </is>
      </c>
      <c r="F214" s="41">
        <f>A214</f>
        <v/>
      </c>
      <c r="G214" s="42" t="n"/>
      <c r="H214" s="41" t="inlineStr">
        <is>
          <t>flmt</t>
        </is>
      </c>
      <c r="I214" s="41" t="inlineStr">
        <is>
          <t>Pcs</t>
        </is>
      </c>
    </row>
    <row r="215" ht="21.25" customFormat="1" customHeight="1" s="39">
      <c r="A215" s="41" t="inlineStr">
        <is>
          <t>9/16" 5’ Cross T</t>
        </is>
      </c>
      <c r="B215" s="41" t="inlineStr">
        <is>
          <t>fl5</t>
        </is>
      </c>
      <c r="C215" s="44" t="n">
        <v>1.25</v>
      </c>
      <c r="D215" s="42" t="n"/>
      <c r="E215" s="41" t="inlineStr">
        <is>
          <t>fl5</t>
        </is>
      </c>
      <c r="F215" s="41">
        <f>A215</f>
        <v/>
      </c>
      <c r="G215" s="42" t="n"/>
      <c r="H215" s="41" t="inlineStr">
        <is>
          <t>fl5</t>
        </is>
      </c>
      <c r="I215" s="41" t="inlineStr">
        <is>
          <t>Pcs</t>
        </is>
      </c>
    </row>
    <row r="216" ht="21.25" customFormat="1" customHeight="1" s="39">
      <c r="A216" s="41" t="inlineStr">
        <is>
          <t>9/16" 4’ Cross T</t>
        </is>
      </c>
      <c r="B216" s="41" t="inlineStr">
        <is>
          <t>fl4</t>
        </is>
      </c>
      <c r="C216" s="44" t="n">
        <v>1.06</v>
      </c>
      <c r="D216" s="42" t="n"/>
      <c r="E216" s="41" t="inlineStr">
        <is>
          <t>fl4</t>
        </is>
      </c>
      <c r="F216" s="41">
        <f>A216</f>
        <v/>
      </c>
      <c r="G216" s="42" t="n"/>
      <c r="H216" s="41" t="inlineStr">
        <is>
          <t>fl4</t>
        </is>
      </c>
      <c r="I216" s="41" t="inlineStr">
        <is>
          <t>Pcs</t>
        </is>
      </c>
    </row>
    <row r="217" ht="21.25" customFormat="1" customHeight="1" s="39">
      <c r="A217" s="41" t="inlineStr">
        <is>
          <t>9/16" 2’ Cross T</t>
        </is>
      </c>
      <c r="B217" s="41" t="inlineStr">
        <is>
          <t>fl2</t>
        </is>
      </c>
      <c r="C217" s="44" t="n">
        <v>1.06</v>
      </c>
      <c r="D217" s="42" t="n"/>
      <c r="E217" s="41" t="inlineStr">
        <is>
          <t>fl2</t>
        </is>
      </c>
      <c r="F217" s="41">
        <f>A217</f>
        <v/>
      </c>
      <c r="G217" s="42" t="n"/>
      <c r="H217" s="41" t="inlineStr">
        <is>
          <t>fl2</t>
        </is>
      </c>
      <c r="I217" s="41" t="inlineStr">
        <is>
          <t>Pcs</t>
        </is>
      </c>
    </row>
    <row r="218" ht="21.25" customFormat="1" customHeight="1" s="39">
      <c r="A218" s="41" t="inlineStr">
        <is>
          <t>Wall Mould</t>
        </is>
      </c>
      <c r="B218" s="41" t="inlineStr">
        <is>
          <t>Wm</t>
        </is>
      </c>
      <c r="C218" s="44" t="n">
        <v>0.595</v>
      </c>
      <c r="D218" s="42" t="n"/>
      <c r="E218" s="41" t="inlineStr">
        <is>
          <t>Wm</t>
        </is>
      </c>
      <c r="F218" s="41">
        <f>A218</f>
        <v/>
      </c>
      <c r="G218" s="42" t="n"/>
      <c r="H218" s="41" t="inlineStr">
        <is>
          <t>Wm</t>
        </is>
      </c>
      <c r="I218" s="41" t="inlineStr">
        <is>
          <t>Pcs</t>
        </is>
      </c>
    </row>
    <row r="219" ht="21.25" customFormat="1" customHeight="1" s="39">
      <c r="A219" s="41" t="inlineStr">
        <is>
          <t>Wall Mould 9/16"</t>
        </is>
      </c>
      <c r="B219" s="41" t="inlineStr">
        <is>
          <t>flWm</t>
        </is>
      </c>
      <c r="C219" s="44" t="n">
        <v>0.595</v>
      </c>
      <c r="D219" s="42" t="n"/>
      <c r="E219" s="41" t="inlineStr">
        <is>
          <t>flWm</t>
        </is>
      </c>
      <c r="F219" s="41">
        <f>A219</f>
        <v/>
      </c>
      <c r="G219" s="42" t="n"/>
      <c r="H219" s="41" t="inlineStr">
        <is>
          <t>flWm</t>
        </is>
      </c>
      <c r="I219" s="41" t="inlineStr">
        <is>
          <t>Pcs</t>
        </is>
      </c>
    </row>
    <row r="220" ht="21.25" customFormat="1" customHeight="1" s="39">
      <c r="A220" s="41" t="inlineStr">
        <is>
          <t>Shadow Mold</t>
        </is>
      </c>
      <c r="B220" s="41" t="inlineStr">
        <is>
          <t>shm</t>
        </is>
      </c>
      <c r="C220" s="44" t="n">
        <v>2.202</v>
      </c>
      <c r="D220" s="42" t="n"/>
      <c r="E220" s="41" t="inlineStr">
        <is>
          <t>shm</t>
        </is>
      </c>
      <c r="F220" s="41">
        <f>A220</f>
        <v/>
      </c>
      <c r="G220" s="42" t="n"/>
      <c r="H220" s="41" t="inlineStr">
        <is>
          <t>shm</t>
        </is>
      </c>
      <c r="I220" s="41" t="inlineStr">
        <is>
          <t>Pcs</t>
        </is>
      </c>
    </row>
    <row r="221" ht="18" customFormat="1" customHeight="1" s="39">
      <c r="A221" s="41" t="inlineStr">
        <is>
          <t>Drywall Grid Main T</t>
        </is>
      </c>
      <c r="B221" s="41" t="inlineStr">
        <is>
          <t>DWGMT</t>
        </is>
      </c>
      <c r="C221" s="44" t="n">
        <v>1.311</v>
      </c>
      <c r="D221" s="42" t="n"/>
      <c r="E221" s="41" t="inlineStr">
        <is>
          <t>DWGMT</t>
        </is>
      </c>
      <c r="F221" s="41">
        <f>A221</f>
        <v/>
      </c>
      <c r="G221" s="42" t="n"/>
      <c r="H221" s="41" t="inlineStr">
        <is>
          <t>DWGMT</t>
        </is>
      </c>
      <c r="I221" s="41" t="inlineStr">
        <is>
          <t>Pcs</t>
        </is>
      </c>
    </row>
    <row r="222" ht="21.25" customFormat="1" customHeight="1" s="39">
      <c r="A222" s="41" t="inlineStr">
        <is>
          <t>Drywall Grid 4' T</t>
        </is>
      </c>
      <c r="B222" s="41" t="inlineStr">
        <is>
          <t>DWG4</t>
        </is>
      </c>
      <c r="C222" s="44" t="n">
        <v>1.311</v>
      </c>
      <c r="D222" s="42" t="n"/>
      <c r="E222" s="41" t="inlineStr">
        <is>
          <t>DWG4</t>
        </is>
      </c>
      <c r="F222" s="41">
        <f>A222</f>
        <v/>
      </c>
      <c r="G222" s="42" t="n"/>
      <c r="H222" s="41" t="inlineStr">
        <is>
          <t>DWG4</t>
        </is>
      </c>
      <c r="I222" s="41" t="inlineStr">
        <is>
          <t>Pcs</t>
        </is>
      </c>
    </row>
    <row r="223" ht="21.25" customFormat="1" customHeight="1" s="39">
      <c r="A223" s="41" t="inlineStr">
        <is>
          <t>Drywall Grid 2' T</t>
        </is>
      </c>
      <c r="B223" s="41" t="inlineStr">
        <is>
          <t>DWG2</t>
        </is>
      </c>
      <c r="C223" s="44" t="n">
        <v>1.872</v>
      </c>
      <c r="D223" s="42" t="n"/>
      <c r="E223" s="41" t="inlineStr">
        <is>
          <t>DWG2</t>
        </is>
      </c>
      <c r="F223" s="41">
        <f>A223</f>
        <v/>
      </c>
      <c r="G223" s="42" t="n"/>
      <c r="H223" s="41" t="inlineStr">
        <is>
          <t>DWG2</t>
        </is>
      </c>
      <c r="I223" s="41" t="inlineStr">
        <is>
          <t>Pcs</t>
        </is>
      </c>
    </row>
    <row r="224" ht="21.25" customFormat="1" customHeight="1" s="39">
      <c r="A224" s="41" t="inlineStr">
        <is>
          <t>Stock Tile</t>
        </is>
      </c>
      <c r="B224" s="41" t="inlineStr">
        <is>
          <t>T2310</t>
        </is>
      </c>
      <c r="C224" s="44" t="n">
        <v>0.6830000000000001</v>
      </c>
      <c r="D224" s="42" t="n"/>
      <c r="E224" s="41" t="inlineStr">
        <is>
          <t>T2310</t>
        </is>
      </c>
      <c r="F224" s="41">
        <f>A224</f>
        <v/>
      </c>
      <c r="G224" s="42" t="n"/>
      <c r="H224" s="41" t="inlineStr">
        <is>
          <t>T2310</t>
        </is>
      </c>
      <c r="I224" s="41" t="inlineStr">
        <is>
          <t>Pcs</t>
        </is>
      </c>
    </row>
    <row r="225" ht="21.25" customFormat="1" customHeight="1" s="39">
      <c r="A225" s="41" t="inlineStr">
        <is>
          <t>Armstrong 9768 Sahara</t>
        </is>
      </c>
      <c r="B225" s="41" t="inlineStr">
        <is>
          <t>T9678</t>
        </is>
      </c>
      <c r="C225" s="44" t="n">
        <v>0.8</v>
      </c>
      <c r="D225" s="42" t="n"/>
      <c r="E225" s="41" t="inlineStr">
        <is>
          <t>T9678</t>
        </is>
      </c>
      <c r="F225" s="41">
        <f>A225</f>
        <v/>
      </c>
      <c r="G225" s="42" t="n"/>
      <c r="H225" s="41" t="inlineStr">
        <is>
          <t>T9678</t>
        </is>
      </c>
      <c r="I225" s="41" t="inlineStr">
        <is>
          <t>Pcs</t>
        </is>
      </c>
    </row>
    <row r="226" ht="21.25" customFormat="1" customHeight="1" s="39">
      <c r="A226" s="41" t="inlineStr">
        <is>
          <t>DRYWALL TILE</t>
        </is>
      </c>
      <c r="B226" s="41" t="inlineStr">
        <is>
          <t>DWT</t>
        </is>
      </c>
      <c r="C226" s="44" t="n">
        <v>1</v>
      </c>
      <c r="D226" s="42" t="n"/>
      <c r="E226" s="41" t="inlineStr">
        <is>
          <t>DWT</t>
        </is>
      </c>
      <c r="F226" s="41">
        <f>A226</f>
        <v/>
      </c>
      <c r="G226" s="42" t="n"/>
      <c r="H226" s="41" t="inlineStr">
        <is>
          <t>DWT</t>
        </is>
      </c>
      <c r="I226" s="41" t="inlineStr">
        <is>
          <t>Pcs</t>
        </is>
      </c>
    </row>
    <row r="227" ht="21.25" customFormat="1" customHeight="1" s="39">
      <c r="A227" s="41" t="inlineStr">
        <is>
          <t>Rocfon Sonar #16101</t>
        </is>
      </c>
      <c r="B227" s="41" t="inlineStr">
        <is>
          <t>t16101</t>
        </is>
      </c>
      <c r="C227" s="44" t="n">
        <v>3.165</v>
      </c>
      <c r="D227" s="42" t="n"/>
      <c r="E227" s="41" t="inlineStr">
        <is>
          <t>t16101</t>
        </is>
      </c>
      <c r="F227" s="41">
        <f>A227</f>
        <v/>
      </c>
      <c r="G227" s="42" t="n"/>
      <c r="H227" s="41" t="inlineStr">
        <is>
          <t>t16101</t>
        </is>
      </c>
      <c r="I227" s="41" t="inlineStr">
        <is>
          <t>Pcs</t>
        </is>
      </c>
    </row>
    <row r="228" ht="21.25" customFormat="1" customHeight="1" s="39">
      <c r="A228" s="41" t="inlineStr">
        <is>
          <t>Rocfon Pacifc #201</t>
        </is>
      </c>
      <c r="B228" s="41" t="inlineStr">
        <is>
          <t>t201</t>
        </is>
      </c>
      <c r="C228" s="44" t="n">
        <v>0.6899999999999999</v>
      </c>
      <c r="D228" s="42" t="n"/>
      <c r="E228" s="41" t="inlineStr">
        <is>
          <t>t201</t>
        </is>
      </c>
      <c r="F228" s="41">
        <f>A228</f>
        <v/>
      </c>
      <c r="G228" s="42" t="n"/>
      <c r="H228" s="41" t="inlineStr">
        <is>
          <t>t201</t>
        </is>
      </c>
      <c r="I228" s="41" t="inlineStr">
        <is>
          <t>Pcs</t>
        </is>
      </c>
    </row>
    <row r="229" ht="21.25" customFormat="1" customHeight="1" s="39">
      <c r="A229" s="47" t="inlineStr">
        <is>
          <t>Rocfon Artic #601</t>
        </is>
      </c>
      <c r="B229" s="41" t="inlineStr">
        <is>
          <t>t601</t>
        </is>
      </c>
      <c r="C229" s="44" t="n">
        <v>1.2</v>
      </c>
      <c r="D229" s="42" t="n"/>
      <c r="E229" s="41" t="inlineStr">
        <is>
          <t>t601</t>
        </is>
      </c>
      <c r="F229" s="41">
        <f>A229</f>
        <v/>
      </c>
      <c r="G229" s="42" t="n"/>
      <c r="H229" s="41" t="inlineStr">
        <is>
          <t>t601</t>
        </is>
      </c>
      <c r="I229" s="41" t="inlineStr">
        <is>
          <t>Pcs</t>
        </is>
      </c>
    </row>
    <row r="230" ht="21.25" customFormat="1" customHeight="1" s="39">
      <c r="A230" s="47" t="inlineStr">
        <is>
          <t>Rocfon Koral #1101</t>
        </is>
      </c>
      <c r="B230" s="41" t="inlineStr">
        <is>
          <t>t1101</t>
        </is>
      </c>
      <c r="C230" s="44" t="n">
        <v>1.995</v>
      </c>
      <c r="D230" s="42" t="n"/>
      <c r="E230" s="41" t="inlineStr">
        <is>
          <t>t1101</t>
        </is>
      </c>
      <c r="F230" s="41">
        <f>A230</f>
        <v/>
      </c>
      <c r="G230" s="42" t="n"/>
      <c r="H230" s="41" t="inlineStr">
        <is>
          <t>t1101</t>
        </is>
      </c>
      <c r="I230" s="41" t="inlineStr">
        <is>
          <t>Pcs</t>
        </is>
      </c>
    </row>
    <row r="231" ht="21.25" customFormat="1" customHeight="1" s="39">
      <c r="A231" s="41" t="inlineStr">
        <is>
          <t xml:space="preserve">Ceiling Tile </t>
        </is>
      </c>
      <c r="B231" s="41" t="inlineStr">
        <is>
          <t>ct</t>
        </is>
      </c>
      <c r="C231" s="44" t="n">
        <v>0.903</v>
      </c>
      <c r="D231" s="42" t="n"/>
      <c r="E231" s="41" t="inlineStr">
        <is>
          <t>t197</t>
        </is>
      </c>
      <c r="F231" s="41">
        <f>A231</f>
        <v/>
      </c>
      <c r="G231" s="42" t="n"/>
      <c r="H231" s="41" t="inlineStr">
        <is>
          <t>t197</t>
        </is>
      </c>
      <c r="I231" s="41" t="inlineStr">
        <is>
          <t>Pcs</t>
        </is>
      </c>
    </row>
    <row r="232" ht="21.25" customFormat="1" customHeight="1" s="39">
      <c r="A232" s="41" t="inlineStr">
        <is>
          <t>Symphony F foil back 1340</t>
        </is>
      </c>
      <c r="B232" s="41" t="inlineStr">
        <is>
          <t>t1340</t>
        </is>
      </c>
      <c r="C232" s="44" t="n">
        <v>3.058</v>
      </c>
      <c r="D232" s="42" t="n"/>
      <c r="E232" s="41" t="inlineStr">
        <is>
          <t>t1340</t>
        </is>
      </c>
      <c r="F232" s="41">
        <f>A232</f>
        <v/>
      </c>
      <c r="G232" s="42" t="n"/>
      <c r="H232" s="41" t="inlineStr">
        <is>
          <t>t1340</t>
        </is>
      </c>
      <c r="I232" s="41" t="inlineStr">
        <is>
          <t>Pcs</t>
        </is>
      </c>
    </row>
    <row r="233" ht="21.25" customFormat="1" customHeight="1" s="39">
      <c r="A233" s="41" t="inlineStr">
        <is>
          <t>Cashmere 224</t>
        </is>
      </c>
      <c r="B233" s="41" t="inlineStr">
        <is>
          <t>t224</t>
        </is>
      </c>
      <c r="C233" s="44" t="n">
        <v>2.206</v>
      </c>
      <c r="D233" s="42" t="n"/>
      <c r="E233" s="41" t="inlineStr">
        <is>
          <t>t224</t>
        </is>
      </c>
      <c r="F233" s="41">
        <f>A233</f>
        <v/>
      </c>
      <c r="G233" s="42" t="n"/>
      <c r="H233" s="41" t="inlineStr">
        <is>
          <t>t224</t>
        </is>
      </c>
      <c r="I233" s="41" t="inlineStr">
        <is>
          <t>Pcs</t>
        </is>
      </c>
    </row>
    <row r="234" ht="21.25" customFormat="1" customHeight="1" s="39">
      <c r="A234" s="41" t="inlineStr">
        <is>
          <t>CertainTeed BET 197</t>
        </is>
      </c>
      <c r="B234" s="41" t="inlineStr">
        <is>
          <t>bet197</t>
        </is>
      </c>
      <c r="C234" s="44" t="n">
        <v>0.669</v>
      </c>
      <c r="D234" s="42" t="n"/>
      <c r="E234" s="41" t="inlineStr">
        <is>
          <t>bet197</t>
        </is>
      </c>
      <c r="F234" s="41">
        <f>A234</f>
        <v/>
      </c>
      <c r="G234" s="42" t="n"/>
      <c r="H234" s="41" t="inlineStr">
        <is>
          <t>bet197</t>
        </is>
      </c>
      <c r="I234" s="41" t="inlineStr">
        <is>
          <t>Pcs</t>
        </is>
      </c>
    </row>
    <row r="235" ht="21.25" customFormat="1" customHeight="1" s="39">
      <c r="A235" s="42" t="n"/>
      <c r="B235" s="42" t="n"/>
      <c r="C235" s="42" t="n"/>
      <c r="D235" s="42" t="n"/>
      <c r="E235" s="42" t="n"/>
      <c r="F235" s="41">
        <f>A235</f>
        <v/>
      </c>
      <c r="G235" s="42" t="n"/>
      <c r="H235" s="42" t="n"/>
      <c r="I235" s="42" t="n"/>
    </row>
    <row r="236" ht="21.25" customFormat="1" customHeight="1" s="39">
      <c r="A236" s="46" t="inlineStr">
        <is>
          <t>Tie Wire</t>
        </is>
      </c>
      <c r="B236" s="41" t="inlineStr">
        <is>
          <t>Tw</t>
        </is>
      </c>
      <c r="C236" s="42" t="n">
        <v>0.2</v>
      </c>
      <c r="D236" s="42" t="n"/>
      <c r="E236" s="41" t="inlineStr">
        <is>
          <t>Tw</t>
        </is>
      </c>
      <c r="F236" s="41">
        <f>A236</f>
        <v/>
      </c>
      <c r="G236" s="42" t="n"/>
      <c r="H236" s="41" t="inlineStr">
        <is>
          <t>Tw</t>
        </is>
      </c>
      <c r="I236" s="41" t="inlineStr">
        <is>
          <t>Tw</t>
        </is>
      </c>
    </row>
    <row r="237" ht="21.25" customFormat="1" customHeight="1" s="39">
      <c r="A237" s="46" t="n"/>
      <c r="B237" s="41" t="n"/>
      <c r="C237" s="42" t="n"/>
      <c r="D237" s="42" t="n"/>
      <c r="E237" s="41" t="n"/>
      <c r="F237" s="41">
        <f>A237</f>
        <v/>
      </c>
      <c r="G237" s="42" t="n"/>
      <c r="H237" s="41" t="n"/>
      <c r="I237" s="41" t="n"/>
    </row>
    <row r="238" ht="21.25" customFormat="1" customHeight="1" s="39">
      <c r="A238" s="46" t="inlineStr">
        <is>
          <t>Lags</t>
        </is>
      </c>
      <c r="B238" s="41" t="inlineStr">
        <is>
          <t>Lag</t>
        </is>
      </c>
      <c r="C238" s="42" t="n">
        <v>0.25</v>
      </c>
      <c r="D238" s="42" t="n"/>
      <c r="E238" s="41" t="inlineStr">
        <is>
          <t>Lag</t>
        </is>
      </c>
      <c r="F238" s="41">
        <f>A238</f>
        <v/>
      </c>
      <c r="G238" s="42" t="n"/>
      <c r="H238" s="41" t="inlineStr">
        <is>
          <t>Lag</t>
        </is>
      </c>
      <c r="I238" s="41" t="inlineStr">
        <is>
          <t>Pcs</t>
        </is>
      </c>
    </row>
    <row r="239" ht="21.25" customFormat="1" customHeight="1" s="39">
      <c r="A239" s="46" t="inlineStr">
        <is>
          <t>Revo Clip</t>
        </is>
      </c>
      <c r="B239" s="41" t="inlineStr">
        <is>
          <t>Revo</t>
        </is>
      </c>
      <c r="C239" s="42" t="n">
        <v>0.6</v>
      </c>
      <c r="D239" s="42" t="n"/>
      <c r="E239" s="41" t="inlineStr">
        <is>
          <t>Revo</t>
        </is>
      </c>
      <c r="F239" s="41">
        <f>A239</f>
        <v/>
      </c>
      <c r="G239" s="42" t="n"/>
      <c r="H239" s="41" t="inlineStr">
        <is>
          <t>Revo</t>
        </is>
      </c>
      <c r="I239" s="41" t="inlineStr">
        <is>
          <t>Pcs</t>
        </is>
      </c>
    </row>
    <row r="240" ht="21.25" customFormat="1" customHeight="1" s="39">
      <c r="A240" s="41" t="inlineStr">
        <is>
          <t>Tegular Revo Clip</t>
        </is>
      </c>
      <c r="B240" s="41" t="inlineStr">
        <is>
          <t>Trevo</t>
        </is>
      </c>
      <c r="C240" s="44" t="n">
        <v>0.6</v>
      </c>
      <c r="D240" s="42" t="n"/>
      <c r="E240" s="41" t="inlineStr">
        <is>
          <t>Trevo</t>
        </is>
      </c>
      <c r="F240" s="41">
        <f>A240</f>
        <v/>
      </c>
      <c r="G240" s="42" t="n"/>
      <c r="H240" s="41" t="inlineStr">
        <is>
          <t>Trevo</t>
        </is>
      </c>
      <c r="I240" s="41" t="inlineStr">
        <is>
          <t>Pcs</t>
        </is>
      </c>
    </row>
    <row r="241" ht="21.25" customFormat="1" customHeight="1" s="39">
      <c r="A241" s="41" t="inlineStr">
        <is>
          <t>Acoustic Clips</t>
        </is>
      </c>
      <c r="B241" s="41" t="inlineStr">
        <is>
          <t>acp</t>
        </is>
      </c>
      <c r="C241" s="44" t="n">
        <v>5</v>
      </c>
      <c r="D241" s="42" t="n"/>
      <c r="E241" s="41" t="inlineStr">
        <is>
          <t>acp</t>
        </is>
      </c>
      <c r="F241" s="41">
        <f>A241</f>
        <v/>
      </c>
      <c r="G241" s="42" t="n"/>
      <c r="H241" s="41" t="inlineStr">
        <is>
          <t>acp</t>
        </is>
      </c>
      <c r="I241" s="41" t="inlineStr">
        <is>
          <t>Pcs</t>
        </is>
      </c>
    </row>
    <row r="242" ht="21.25" customFormat="1" customHeight="1" s="39">
      <c r="A242" s="41" t="inlineStr">
        <is>
          <t>1 1/4” Fine Thread DW Screws</t>
        </is>
      </c>
      <c r="B242" s="41" t="inlineStr">
        <is>
          <t>114ft</t>
        </is>
      </c>
      <c r="C242" s="44" t="n">
        <v>47.8</v>
      </c>
      <c r="D242" s="42" t="n"/>
      <c r="E242" s="41" t="inlineStr">
        <is>
          <t>114ft</t>
        </is>
      </c>
      <c r="F242" s="41">
        <f>A242</f>
        <v/>
      </c>
      <c r="G242" s="42" t="n"/>
      <c r="H242" s="41" t="inlineStr">
        <is>
          <t>114ft</t>
        </is>
      </c>
      <c r="I242" s="41" t="inlineStr">
        <is>
          <t>Boxes</t>
        </is>
      </c>
    </row>
    <row r="243" ht="20.9" customFormat="1" customHeight="1" s="39">
      <c r="A243" s="46" t="inlineStr">
        <is>
          <t>1 5/8” Fine Thread DW Screws</t>
        </is>
      </c>
      <c r="B243" s="41" t="inlineStr">
        <is>
          <t>158ft</t>
        </is>
      </c>
      <c r="C243" s="44" t="n">
        <v>40.6</v>
      </c>
      <c r="D243" s="42" t="n"/>
      <c r="E243" s="41" t="inlineStr">
        <is>
          <t>158ft</t>
        </is>
      </c>
      <c r="F243" s="41">
        <f>A243</f>
        <v/>
      </c>
      <c r="G243" s="42" t="n"/>
      <c r="H243" s="41" t="inlineStr">
        <is>
          <t>158ft</t>
        </is>
      </c>
      <c r="I243" s="41" t="inlineStr">
        <is>
          <t>Boxes</t>
        </is>
      </c>
    </row>
    <row r="244" ht="20.5" customFormat="1" customHeight="1" s="39">
      <c r="A244" s="46" t="inlineStr">
        <is>
          <t>2” Fine Thread DW Screws</t>
        </is>
      </c>
      <c r="B244" s="41" t="inlineStr">
        <is>
          <t>2ft</t>
        </is>
      </c>
      <c r="C244" s="44" t="n">
        <v>39.6</v>
      </c>
      <c r="D244" s="42" t="n"/>
      <c r="E244" s="41" t="inlineStr">
        <is>
          <t>2ft</t>
        </is>
      </c>
      <c r="F244" s="41">
        <f>A244</f>
        <v/>
      </c>
      <c r="G244" s="42" t="n"/>
      <c r="H244" s="41" t="inlineStr">
        <is>
          <t>2ft</t>
        </is>
      </c>
      <c r="I244" s="41" t="inlineStr">
        <is>
          <t>Boxes</t>
        </is>
      </c>
    </row>
    <row r="245" ht="20.5" customFormat="1" customHeight="1" s="39">
      <c r="A245" s="46" t="inlineStr">
        <is>
          <t>1 1/4” Self Tapping DW Screws</t>
        </is>
      </c>
      <c r="B245" s="41" t="inlineStr">
        <is>
          <t>114st</t>
        </is>
      </c>
      <c r="C245" s="44" t="n">
        <v>68</v>
      </c>
      <c r="D245" s="42" t="n"/>
      <c r="E245" s="41" t="inlineStr">
        <is>
          <t>114st</t>
        </is>
      </c>
      <c r="F245" s="41">
        <f>A245</f>
        <v/>
      </c>
      <c r="G245" s="42" t="n"/>
      <c r="H245" s="41" t="inlineStr">
        <is>
          <t>114st</t>
        </is>
      </c>
      <c r="I245" s="41" t="inlineStr">
        <is>
          <t>Boxes</t>
        </is>
      </c>
    </row>
    <row r="246" ht="20.5" customFormat="1" customHeight="1" s="39">
      <c r="A246" s="46" t="inlineStr">
        <is>
          <t>1 5/8” Self Tapping DW Screws</t>
        </is>
      </c>
      <c r="B246" s="41" t="inlineStr">
        <is>
          <t>158st</t>
        </is>
      </c>
      <c r="C246" s="44" t="n">
        <v>54</v>
      </c>
      <c r="D246" s="42" t="n"/>
      <c r="E246" s="41" t="inlineStr">
        <is>
          <t>158st</t>
        </is>
      </c>
      <c r="F246" s="41">
        <f>A246</f>
        <v/>
      </c>
      <c r="G246" s="42" t="n"/>
      <c r="H246" s="41" t="inlineStr">
        <is>
          <t>158st</t>
        </is>
      </c>
      <c r="I246" s="41" t="inlineStr">
        <is>
          <t>Boxes</t>
        </is>
      </c>
    </row>
    <row r="247" ht="20.5" customFormat="1" customHeight="1" s="39">
      <c r="A247" s="41" t="inlineStr">
        <is>
          <t>2” Fine Self Tapping Screws</t>
        </is>
      </c>
      <c r="B247" s="41" t="inlineStr">
        <is>
          <t>2st</t>
        </is>
      </c>
      <c r="C247" s="44" t="n">
        <v>49</v>
      </c>
      <c r="D247" s="42" t="n"/>
      <c r="E247" s="41" t="inlineStr">
        <is>
          <t>2st</t>
        </is>
      </c>
      <c r="F247" s="41">
        <f>A247</f>
        <v/>
      </c>
      <c r="G247" s="42" t="n"/>
      <c r="H247" s="41" t="inlineStr">
        <is>
          <t>2st</t>
        </is>
      </c>
      <c r="I247" s="41" t="inlineStr">
        <is>
          <t>Boxes</t>
        </is>
      </c>
    </row>
    <row r="248" ht="20.5" customFormat="1" customHeight="1" s="39">
      <c r="A248" s="46" t="inlineStr">
        <is>
          <t>1 1/2” Laminating Screws</t>
        </is>
      </c>
      <c r="B248" s="41" t="inlineStr">
        <is>
          <t>112ls</t>
        </is>
      </c>
      <c r="C248" s="44" t="n">
        <v>75</v>
      </c>
      <c r="D248" s="42" t="n"/>
      <c r="E248" s="41" t="inlineStr">
        <is>
          <t>112ls</t>
        </is>
      </c>
      <c r="F248" s="41">
        <f>A248</f>
        <v/>
      </c>
      <c r="G248" s="42" t="n"/>
      <c r="H248" s="41" t="inlineStr">
        <is>
          <t>112ls</t>
        </is>
      </c>
      <c r="I248" s="41" t="inlineStr">
        <is>
          <t>Boxes</t>
        </is>
      </c>
    </row>
    <row r="249" ht="20.5" customFormat="1" customHeight="1" s="39">
      <c r="A249" s="41" t="inlineStr">
        <is>
          <t xml:space="preserve">Wafers </t>
        </is>
      </c>
      <c r="B249" s="41" t="inlineStr">
        <is>
          <t>waf</t>
        </is>
      </c>
      <c r="C249" s="42" t="n">
        <v>87</v>
      </c>
      <c r="D249" s="42" t="n"/>
      <c r="E249" s="41" t="inlineStr">
        <is>
          <t>waf</t>
        </is>
      </c>
      <c r="F249" s="41">
        <f>A249</f>
        <v/>
      </c>
      <c r="G249" s="42" t="n"/>
      <c r="H249" s="41" t="inlineStr">
        <is>
          <t>waf</t>
        </is>
      </c>
      <c r="I249" s="41" t="inlineStr">
        <is>
          <t>Boxes</t>
        </is>
      </c>
    </row>
    <row r="250" ht="20.5" customFormat="1" customHeight="1" s="39">
      <c r="A250" s="46" t="inlineStr">
        <is>
          <t>Self Tapping Wafers</t>
        </is>
      </c>
      <c r="B250" s="41" t="inlineStr">
        <is>
          <t>stw</t>
        </is>
      </c>
      <c r="C250" s="44" t="n">
        <v>90</v>
      </c>
      <c r="D250" s="42" t="n"/>
      <c r="E250" s="41" t="inlineStr">
        <is>
          <t>stw</t>
        </is>
      </c>
      <c r="F250" s="41">
        <f>A250</f>
        <v/>
      </c>
      <c r="G250" s="42" t="n"/>
      <c r="H250" s="41" t="inlineStr">
        <is>
          <t>stw</t>
        </is>
      </c>
      <c r="I250" s="41" t="inlineStr">
        <is>
          <t>Boxes</t>
        </is>
      </c>
    </row>
    <row r="251" ht="20.5" customFormat="1" customHeight="1" s="39">
      <c r="A251" s="46" t="n"/>
      <c r="B251" s="41" t="n"/>
      <c r="C251" s="44" t="n"/>
      <c r="D251" s="42" t="n"/>
      <c r="E251" s="41" t="n"/>
      <c r="F251" s="41">
        <f>A251</f>
        <v/>
      </c>
      <c r="G251" s="42" t="n"/>
      <c r="H251" s="41" t="n"/>
      <c r="I251" s="41" t="n"/>
    </row>
    <row r="252" ht="20.5" customFormat="1" customHeight="1" s="39">
      <c r="A252" s="46" t="inlineStr">
        <is>
          <t>4800DW Firestop Sealant 850 ML</t>
        </is>
      </c>
      <c r="B252" s="41" t="inlineStr">
        <is>
          <t>fs</t>
        </is>
      </c>
      <c r="C252" s="44" t="n">
        <v>17.85</v>
      </c>
      <c r="D252" s="42" t="n"/>
      <c r="E252" s="41" t="inlineStr">
        <is>
          <t>fs</t>
        </is>
      </c>
      <c r="F252" s="41">
        <f>A252</f>
        <v/>
      </c>
      <c r="G252" s="42" t="n"/>
      <c r="H252" s="41" t="inlineStr">
        <is>
          <t>fs</t>
        </is>
      </c>
      <c r="I252" s="41" t="inlineStr">
        <is>
          <t>Tubes</t>
        </is>
      </c>
    </row>
    <row r="253" ht="20.5" customFormat="1" customHeight="1" s="39">
      <c r="A253" s="41" t="inlineStr">
        <is>
          <t xml:space="preserve">Hilti 506 </t>
        </is>
      </c>
      <c r="B253" s="41" t="inlineStr">
        <is>
          <t>H506</t>
        </is>
      </c>
      <c r="C253" s="44" t="n">
        <v>0.15</v>
      </c>
      <c r="D253" s="42" t="n"/>
      <c r="E253" s="41" t="inlineStr">
        <is>
          <t>H506</t>
        </is>
      </c>
      <c r="F253" s="41">
        <f>A253</f>
        <v/>
      </c>
      <c r="G253" s="42" t="n"/>
      <c r="H253" s="41" t="inlineStr">
        <is>
          <t>H506</t>
        </is>
      </c>
      <c r="I253" s="41" t="inlineStr">
        <is>
          <t>Tubes</t>
        </is>
      </c>
    </row>
    <row r="254" ht="20.5" customFormat="1" customHeight="1" s="39">
      <c r="A254" s="41" t="inlineStr">
        <is>
          <t>Hilti 606</t>
        </is>
      </c>
      <c r="B254" s="41" t="inlineStr">
        <is>
          <t>H606</t>
        </is>
      </c>
      <c r="C254" s="44" t="n">
        <v>0.3</v>
      </c>
      <c r="D254" s="42" t="n"/>
      <c r="E254" s="41" t="inlineStr">
        <is>
          <t>H606</t>
        </is>
      </c>
      <c r="F254" s="41">
        <f>A254</f>
        <v/>
      </c>
      <c r="G254" s="42" t="n"/>
      <c r="H254" s="41" t="inlineStr">
        <is>
          <t>H606</t>
        </is>
      </c>
      <c r="I254" s="41" t="inlineStr">
        <is>
          <t>Tubes</t>
        </is>
      </c>
    </row>
    <row r="255" ht="20.5" customFormat="1" customHeight="1" s="39">
      <c r="A255" s="41" t="inlineStr">
        <is>
          <t>Acoustical Sealant 850 ML</t>
        </is>
      </c>
      <c r="B255" s="41" t="inlineStr">
        <is>
          <t>as</t>
        </is>
      </c>
      <c r="C255" s="44" t="n">
        <v>8.1</v>
      </c>
      <c r="D255" s="42" t="n"/>
      <c r="E255" s="41" t="inlineStr">
        <is>
          <t>as</t>
        </is>
      </c>
      <c r="F255" s="41">
        <f>A255</f>
        <v/>
      </c>
      <c r="G255" s="42" t="n"/>
      <c r="H255" s="41" t="inlineStr">
        <is>
          <t>as</t>
        </is>
      </c>
      <c r="I255" s="41" t="inlineStr">
        <is>
          <t>Tubes</t>
        </is>
      </c>
    </row>
    <row r="256" ht="20.5" customFormat="1" customHeight="1" s="39">
      <c r="A256" s="41" t="inlineStr">
        <is>
          <t>PL Premium Adhesive 825 ML</t>
        </is>
      </c>
      <c r="B256" s="42" t="inlineStr">
        <is>
          <t>pl</t>
        </is>
      </c>
      <c r="C256" s="42" t="n">
        <v>17.7</v>
      </c>
      <c r="D256" s="42" t="n"/>
      <c r="E256" s="42" t="inlineStr">
        <is>
          <t>pl</t>
        </is>
      </c>
      <c r="F256" s="41">
        <f>A256</f>
        <v/>
      </c>
      <c r="G256" s="42" t="n"/>
      <c r="H256" s="42" t="inlineStr">
        <is>
          <t>pl</t>
        </is>
      </c>
      <c r="I256" s="42" t="inlineStr">
        <is>
          <t>Cans</t>
        </is>
      </c>
    </row>
    <row r="257" ht="20.5" customFormat="1" customHeight="1" s="39">
      <c r="A257" s="41" t="inlineStr">
        <is>
          <t>3M Super 77 Spray Glue</t>
        </is>
      </c>
      <c r="B257" s="42" t="inlineStr">
        <is>
          <t>sg</t>
        </is>
      </c>
      <c r="C257" s="42" t="n">
        <v>15.5</v>
      </c>
      <c r="D257" s="42" t="n"/>
      <c r="E257" s="42" t="inlineStr">
        <is>
          <t>sg</t>
        </is>
      </c>
      <c r="F257" s="41">
        <f>A257</f>
        <v/>
      </c>
      <c r="G257" s="42" t="n"/>
      <c r="H257" s="42" t="inlineStr">
        <is>
          <t>sg</t>
        </is>
      </c>
      <c r="I257" s="42" t="inlineStr">
        <is>
          <t>Cans</t>
        </is>
      </c>
    </row>
    <row r="258" ht="20.5" customFormat="1" customHeight="1" s="39">
      <c r="A258" s="41" t="n"/>
      <c r="B258" s="42" t="n"/>
      <c r="C258" s="42" t="n"/>
      <c r="D258" s="42" t="n"/>
      <c r="E258" s="42" t="n"/>
      <c r="F258" s="41">
        <f>A258</f>
        <v/>
      </c>
      <c r="G258" s="42" t="n"/>
      <c r="H258" s="42" t="n"/>
      <c r="I258" s="42" t="n"/>
    </row>
    <row r="259" ht="20.5" customFormat="1" customHeight="1" s="39">
      <c r="A259" s="41" t="n"/>
      <c r="B259" s="42" t="n"/>
      <c r="C259" s="42" t="n"/>
      <c r="D259" s="42" t="n"/>
      <c r="E259" s="42" t="n"/>
      <c r="F259" s="41">
        <f>A259</f>
        <v/>
      </c>
      <c r="G259" s="42" t="n"/>
      <c r="H259" s="42" t="n"/>
      <c r="I259" s="42" t="n"/>
    </row>
    <row r="260" ht="20.5" customFormat="1" customHeight="1" s="39">
      <c r="A260" s="41" t="inlineStr">
        <is>
          <t>VGH Labour</t>
        </is>
      </c>
      <c r="B260" s="42" t="inlineStr">
        <is>
          <t>vghl</t>
        </is>
      </c>
      <c r="C260" s="42" t="n">
        <v>80</v>
      </c>
      <c r="D260" s="42" t="n"/>
      <c r="E260" s="42" t="inlineStr">
        <is>
          <t>VGHL</t>
        </is>
      </c>
      <c r="F260" s="41">
        <f>A260</f>
        <v/>
      </c>
      <c r="G260" s="42" t="n"/>
      <c r="H260" s="42" t="inlineStr">
        <is>
          <t>VGHL</t>
        </is>
      </c>
      <c r="I260" s="42" t="inlineStr">
        <is>
          <t>Hrs</t>
        </is>
      </c>
    </row>
    <row r="261" ht="20.5" customFormat="1" customHeight="1" s="39">
      <c r="A261" s="41" t="inlineStr">
        <is>
          <t>Framing Labour</t>
        </is>
      </c>
      <c r="B261" s="42" t="inlineStr">
        <is>
          <t>FL</t>
        </is>
      </c>
      <c r="C261" s="42" t="n">
        <v>80</v>
      </c>
      <c r="D261" s="42" t="n"/>
      <c r="E261" s="42" t="inlineStr">
        <is>
          <t>FL</t>
        </is>
      </c>
      <c r="F261" s="41">
        <f>A261</f>
        <v/>
      </c>
      <c r="G261" s="42" t="n"/>
      <c r="H261" s="42" t="inlineStr">
        <is>
          <t>FL</t>
        </is>
      </c>
      <c r="I261" s="42" t="inlineStr">
        <is>
          <t>Hrs</t>
        </is>
      </c>
    </row>
    <row r="262" ht="20.5" customFormat="1" customHeight="1" s="39">
      <c r="A262" s="41" t="inlineStr">
        <is>
          <t>Insulation Labour</t>
        </is>
      </c>
      <c r="B262" s="42" t="inlineStr">
        <is>
          <t>IL</t>
        </is>
      </c>
      <c r="C262" s="42" t="n">
        <v>80</v>
      </c>
      <c r="D262" s="42" t="n"/>
      <c r="E262" s="42" t="inlineStr">
        <is>
          <t>IL</t>
        </is>
      </c>
      <c r="F262" s="41">
        <f>A262</f>
        <v/>
      </c>
      <c r="G262" s="42" t="n"/>
      <c r="H262" s="42" t="inlineStr">
        <is>
          <t>IL</t>
        </is>
      </c>
      <c r="I262" s="42" t="inlineStr">
        <is>
          <t>Hrs</t>
        </is>
      </c>
    </row>
    <row r="263" ht="20.5" customFormat="1" customHeight="1" s="39">
      <c r="A263" s="41" t="inlineStr">
        <is>
          <t>Drywall Labour</t>
        </is>
      </c>
      <c r="B263" s="42" t="inlineStr">
        <is>
          <t>DL</t>
        </is>
      </c>
      <c r="C263" s="42" t="n">
        <v>80</v>
      </c>
      <c r="D263" s="42" t="n"/>
      <c r="E263" s="42" t="inlineStr">
        <is>
          <t>DL</t>
        </is>
      </c>
      <c r="F263" s="41">
        <f>A263</f>
        <v/>
      </c>
      <c r="G263" s="42" t="n"/>
      <c r="H263" s="42" t="inlineStr">
        <is>
          <t>DL</t>
        </is>
      </c>
      <c r="I263" s="42" t="inlineStr">
        <is>
          <t>Hrs</t>
        </is>
      </c>
    </row>
    <row r="264" ht="20.5" customFormat="1" customHeight="1" s="39">
      <c r="A264" s="41" t="inlineStr">
        <is>
          <t>Taping Labour</t>
        </is>
      </c>
      <c r="B264" s="42" t="inlineStr">
        <is>
          <t>TL</t>
        </is>
      </c>
      <c r="C264" s="42" t="n">
        <v>80</v>
      </c>
      <c r="D264" s="42" t="n"/>
      <c r="E264" s="42" t="inlineStr">
        <is>
          <t>TL</t>
        </is>
      </c>
      <c r="F264" s="41">
        <f>A264</f>
        <v/>
      </c>
      <c r="G264" s="42" t="n"/>
      <c r="H264" s="42" t="inlineStr">
        <is>
          <t>TL</t>
        </is>
      </c>
      <c r="I264" s="42" t="inlineStr">
        <is>
          <t>Hrs</t>
        </is>
      </c>
    </row>
    <row r="265" ht="20.5" customFormat="1" customHeight="1" s="39">
      <c r="A265" s="41" t="inlineStr">
        <is>
          <t>Acoustic Ceiling Labour</t>
        </is>
      </c>
      <c r="B265" s="42" t="inlineStr">
        <is>
          <t>ACL</t>
        </is>
      </c>
      <c r="C265" s="42" t="n">
        <v>80</v>
      </c>
      <c r="D265" s="42" t="n"/>
      <c r="E265" s="42" t="inlineStr">
        <is>
          <t>ACL</t>
        </is>
      </c>
      <c r="F265" s="41">
        <f>A265</f>
        <v/>
      </c>
      <c r="G265" s="42" t="n"/>
      <c r="H265" s="42" t="inlineStr">
        <is>
          <t>ACL</t>
        </is>
      </c>
      <c r="I265" s="42" t="inlineStr">
        <is>
          <t>Hrs</t>
        </is>
      </c>
    </row>
    <row r="266" ht="20.5" customFormat="1" customHeight="1" s="39">
      <c r="A266" s="41" t="inlineStr">
        <is>
          <t>Clean Up</t>
        </is>
      </c>
      <c r="B266" s="42" t="inlineStr">
        <is>
          <t>CU</t>
        </is>
      </c>
      <c r="C266" s="42" t="n">
        <v>80</v>
      </c>
      <c r="D266" s="42" t="n"/>
      <c r="E266" s="42" t="inlineStr">
        <is>
          <t>CU</t>
        </is>
      </c>
      <c r="F266" s="41">
        <f>A266</f>
        <v/>
      </c>
      <c r="G266" s="42" t="n"/>
      <c r="H266" s="42" t="inlineStr">
        <is>
          <t>CU</t>
        </is>
      </c>
      <c r="I266" s="42" t="inlineStr">
        <is>
          <t>Hrs</t>
        </is>
      </c>
    </row>
    <row r="267" ht="20.5" customFormat="1" customHeight="1" s="39">
      <c r="A267" s="41" t="inlineStr">
        <is>
          <t>Supervision</t>
        </is>
      </c>
      <c r="B267" s="42" t="inlineStr">
        <is>
          <t>S</t>
        </is>
      </c>
      <c r="C267" s="42" t="n">
        <v>80</v>
      </c>
      <c r="D267" s="42" t="n"/>
      <c r="E267" s="42" t="inlineStr">
        <is>
          <t>S</t>
        </is>
      </c>
      <c r="F267" s="41">
        <f>A267</f>
        <v/>
      </c>
      <c r="G267" s="42" t="n"/>
      <c r="H267" s="42" t="inlineStr">
        <is>
          <t>S</t>
        </is>
      </c>
      <c r="I267" s="42" t="inlineStr">
        <is>
          <t>Hrs</t>
        </is>
      </c>
    </row>
    <row r="268" ht="20.5" customFormat="1" customHeight="1" s="39">
      <c r="A268" s="41" t="inlineStr">
        <is>
          <t xml:space="preserve">Demo Labour </t>
        </is>
      </c>
      <c r="B268" s="42" t="inlineStr">
        <is>
          <t>Demo</t>
        </is>
      </c>
      <c r="C268" s="42" t="n">
        <v>60</v>
      </c>
      <c r="D268" s="42" t="n"/>
      <c r="E268" s="42" t="inlineStr">
        <is>
          <t>Demo</t>
        </is>
      </c>
      <c r="F268" s="41">
        <f>A268</f>
        <v/>
      </c>
      <c r="G268" s="42" t="n"/>
      <c r="H268" s="42" t="inlineStr">
        <is>
          <t>Demo</t>
        </is>
      </c>
      <c r="I268" s="42" t="inlineStr">
        <is>
          <t>Hrs</t>
        </is>
      </c>
    </row>
    <row r="269" ht="20.5" customFormat="1" customHeight="1" s="39">
      <c r="A269" s="41" t="n"/>
      <c r="B269" s="42" t="n"/>
      <c r="C269" s="42" t="n"/>
      <c r="D269" s="42" t="n"/>
      <c r="E269" s="42" t="n">
        <v>0</v>
      </c>
      <c r="F269" s="41">
        <f>A269</f>
        <v/>
      </c>
      <c r="G269" s="42" t="n"/>
      <c r="H269" s="42" t="n">
        <v>0</v>
      </c>
      <c r="I269" s="42" t="n">
        <v>1</v>
      </c>
    </row>
    <row r="270" ht="20.5" customFormat="1" customHeight="1" s="39">
      <c r="A270" s="41" t="inlineStr">
        <is>
          <t>Scissor Lift</t>
        </is>
      </c>
      <c r="B270" s="42" t="inlineStr">
        <is>
          <t>SL</t>
        </is>
      </c>
      <c r="C270" s="42" t="n">
        <v>423.076923076923</v>
      </c>
      <c r="D270" s="42" t="n"/>
      <c r="E270" s="42" t="inlineStr">
        <is>
          <t>sl</t>
        </is>
      </c>
      <c r="F270" s="41">
        <f>A270</f>
        <v/>
      </c>
      <c r="G270" s="42" t="n"/>
      <c r="H270" s="42" t="inlineStr">
        <is>
          <t>sl</t>
        </is>
      </c>
      <c r="I270" s="42" t="inlineStr">
        <is>
          <t>Weeks</t>
        </is>
      </c>
    </row>
    <row r="271" ht="20.5" customFormat="1" customHeight="1" s="39">
      <c r="A271" s="41" t="inlineStr">
        <is>
          <t>Taping Material</t>
        </is>
      </c>
      <c r="B271" s="42" t="inlineStr">
        <is>
          <t>TM</t>
        </is>
      </c>
      <c r="C271" s="42" t="n">
        <v>23.0538461538462</v>
      </c>
      <c r="D271" s="42" t="n"/>
      <c r="E271" s="42" t="inlineStr">
        <is>
          <t>TM</t>
        </is>
      </c>
      <c r="F271" s="41">
        <f>A271</f>
        <v/>
      </c>
      <c r="G271" s="42" t="n"/>
      <c r="H271" s="42" t="inlineStr">
        <is>
          <t>TM</t>
        </is>
      </c>
      <c r="I271" s="42" t="inlineStr">
        <is>
          <t>-</t>
        </is>
      </c>
    </row>
    <row r="272" ht="20.5" customFormat="1" customHeight="1" s="39">
      <c r="A272" s="41" t="inlineStr">
        <is>
          <t>Disposal</t>
        </is>
      </c>
      <c r="B272" s="42" t="inlineStr">
        <is>
          <t>D</t>
        </is>
      </c>
      <c r="C272" s="42" t="n">
        <v>57.69230769230769</v>
      </c>
      <c r="D272" s="42" t="n"/>
      <c r="E272" s="42" t="inlineStr">
        <is>
          <t>D</t>
        </is>
      </c>
      <c r="F272" s="41">
        <f>A272</f>
        <v/>
      </c>
      <c r="G272" s="42" t="n"/>
      <c r="H272" s="42" t="inlineStr">
        <is>
          <t>D</t>
        </is>
      </c>
      <c r="I272" s="42" t="inlineStr">
        <is>
          <t>-</t>
        </is>
      </c>
    </row>
    <row r="273" ht="20.5" customFormat="1" customHeight="1" s="39">
      <c r="A273" s="41" t="inlineStr">
        <is>
          <t>Delivery Fee</t>
        </is>
      </c>
      <c r="B273" s="42" t="inlineStr">
        <is>
          <t>DF</t>
        </is>
      </c>
      <c r="C273" s="42">
        <f>265/1.3</f>
        <v/>
      </c>
      <c r="D273" s="42" t="n"/>
      <c r="E273" s="42" t="inlineStr">
        <is>
          <t>DF</t>
        </is>
      </c>
      <c r="F273" s="41">
        <f>A273</f>
        <v/>
      </c>
      <c r="G273" s="42" t="n"/>
      <c r="H273" s="42" t="inlineStr">
        <is>
          <t>DF</t>
        </is>
      </c>
      <c r="I273" s="42" t="inlineStr">
        <is>
          <t>-</t>
        </is>
      </c>
    </row>
    <row r="274" ht="20.5" customFormat="1" customHeight="1" s="39">
      <c r="A274" s="41" t="n"/>
      <c r="B274" s="42" t="n"/>
      <c r="C274" s="42" t="n"/>
      <c r="D274" s="42" t="n"/>
      <c r="E274" s="42" t="n">
        <v>0</v>
      </c>
      <c r="F274" s="41">
        <f>A274</f>
        <v/>
      </c>
      <c r="G274" s="42" t="n"/>
      <c r="H274" s="42" t="n">
        <v>0</v>
      </c>
      <c r="I274" s="42" t="n">
        <v>1</v>
      </c>
    </row>
    <row r="275" ht="20.5" customFormat="1" customHeight="1" s="39">
      <c r="A275" s="41" t="n"/>
      <c r="B275" s="42" t="n"/>
      <c r="C275" s="42" t="n"/>
      <c r="D275" s="42" t="n"/>
      <c r="E275" s="42" t="n">
        <v>0</v>
      </c>
      <c r="F275" s="41">
        <f>A275</f>
        <v/>
      </c>
      <c r="G275" s="42" t="n"/>
      <c r="H275" s="42" t="n">
        <v>0</v>
      </c>
      <c r="I275" s="42" t="n">
        <v>1</v>
      </c>
    </row>
    <row r="276" ht="20.5" customFormat="1" customHeight="1" s="39">
      <c r="A276" s="41" t="n"/>
      <c r="B276" s="42" t="n"/>
      <c r="C276" s="42" t="n"/>
      <c r="D276" s="42" t="n"/>
      <c r="E276" s="42" t="n">
        <v>0</v>
      </c>
      <c r="F276" s="41">
        <f>A276</f>
        <v/>
      </c>
      <c r="G276" s="42" t="n"/>
      <c r="H276" s="42" t="n">
        <v>0</v>
      </c>
      <c r="I276" s="42" t="n">
        <v>1</v>
      </c>
    </row>
    <row r="277" ht="20.5" customFormat="1" customHeight="1" s="39">
      <c r="A277" s="41" t="n"/>
      <c r="B277" s="42" t="n"/>
      <c r="C277" s="42" t="n"/>
      <c r="D277" s="42" t="n"/>
      <c r="E277" s="42" t="n">
        <v>0</v>
      </c>
      <c r="F277" s="41">
        <f>A277</f>
        <v/>
      </c>
      <c r="G277" s="42" t="n"/>
      <c r="H277" s="42" t="n">
        <v>0</v>
      </c>
      <c r="I277" s="42" t="n">
        <v>1</v>
      </c>
    </row>
    <row r="278" ht="20.5" customFormat="1" customHeight="1" s="39">
      <c r="A278" s="41" t="n"/>
      <c r="B278" s="42" t="n"/>
      <c r="C278" s="42" t="n"/>
      <c r="D278" s="42" t="n"/>
      <c r="E278" s="42" t="n">
        <v>0</v>
      </c>
      <c r="F278" s="41">
        <f>A278</f>
        <v/>
      </c>
      <c r="G278" s="42" t="n"/>
      <c r="H278" s="42" t="n">
        <v>0</v>
      </c>
      <c r="I278" s="42" t="n">
        <v>1</v>
      </c>
    </row>
    <row r="279" ht="20.5" customFormat="1" customHeight="1" s="39">
      <c r="A279" s="41" t="n"/>
      <c r="B279" s="42" t="n"/>
      <c r="C279" s="42" t="n"/>
      <c r="D279" s="42" t="n"/>
      <c r="E279" s="42" t="n">
        <v>0</v>
      </c>
      <c r="F279" s="41">
        <f>A279</f>
        <v/>
      </c>
      <c r="G279" s="42" t="n"/>
      <c r="H279" s="42" t="n">
        <v>0</v>
      </c>
      <c r="I279" s="42" t="n">
        <v>1</v>
      </c>
    </row>
    <row r="280" ht="20.5" customFormat="1" customHeight="1" s="39">
      <c r="A280" s="41" t="n"/>
      <c r="B280" s="42" t="n"/>
      <c r="C280" s="42" t="n"/>
      <c r="D280" s="42" t="n"/>
      <c r="E280" s="42" t="n">
        <v>0</v>
      </c>
      <c r="F280" s="41">
        <f>A280</f>
        <v/>
      </c>
      <c r="G280" s="42" t="n"/>
      <c r="H280" s="42" t="n">
        <v>0</v>
      </c>
      <c r="I280" s="42" t="n">
        <v>1</v>
      </c>
    </row>
    <row r="281" ht="20.5" customFormat="1" customHeight="1" s="39">
      <c r="A281" s="41" t="n"/>
      <c r="B281" s="42" t="n"/>
      <c r="C281" s="42" t="n"/>
      <c r="D281" s="42" t="n"/>
      <c r="E281" s="42" t="n">
        <v>0</v>
      </c>
      <c r="F281" s="41">
        <f>A281</f>
        <v/>
      </c>
      <c r="G281" s="42" t="n"/>
      <c r="H281" s="42" t="n">
        <v>0</v>
      </c>
      <c r="I281" s="42" t="n">
        <v>1</v>
      </c>
    </row>
    <row r="282" ht="20.5" customFormat="1" customHeight="1" s="39">
      <c r="A282" s="41" t="n"/>
      <c r="B282" s="42" t="n"/>
      <c r="C282" s="42" t="n"/>
      <c r="D282" s="42" t="n"/>
      <c r="E282" s="42" t="n">
        <v>0</v>
      </c>
      <c r="F282" s="41">
        <f>A282</f>
        <v/>
      </c>
      <c r="G282" s="42" t="n"/>
      <c r="H282" s="42" t="n">
        <v>0</v>
      </c>
      <c r="I282" s="42" t="n">
        <v>1</v>
      </c>
    </row>
    <row r="283" ht="20.5" customFormat="1" customHeight="1" s="39">
      <c r="A283" s="41" t="n"/>
      <c r="B283" s="42" t="n"/>
      <c r="C283" s="42" t="n"/>
      <c r="D283" s="42" t="n"/>
      <c r="E283" s="42" t="n">
        <v>0</v>
      </c>
      <c r="F283" s="41">
        <f>A283</f>
        <v/>
      </c>
      <c r="G283" s="42" t="n"/>
      <c r="H283" s="42" t="n">
        <v>0</v>
      </c>
      <c r="I283" s="42" t="n">
        <v>1</v>
      </c>
    </row>
    <row r="284" ht="20.5" customFormat="1" customHeight="1" s="39">
      <c r="A284" s="41" t="n"/>
      <c r="B284" s="42" t="n"/>
      <c r="C284" s="42" t="n"/>
      <c r="D284" s="42" t="n"/>
      <c r="E284" s="42" t="n">
        <v>0</v>
      </c>
      <c r="F284" s="41">
        <f>A284</f>
        <v/>
      </c>
      <c r="G284" s="42" t="n"/>
      <c r="H284" s="42" t="n">
        <v>0</v>
      </c>
      <c r="I284" s="42" t="n">
        <v>1</v>
      </c>
    </row>
    <row r="285" ht="20.5" customFormat="1" customHeight="1" s="39">
      <c r="A285" s="41" t="n"/>
      <c r="B285" s="42" t="n"/>
      <c r="C285" s="42" t="n"/>
      <c r="D285" s="42" t="n"/>
      <c r="E285" s="42" t="n">
        <v>0</v>
      </c>
      <c r="F285" s="41">
        <f>A285</f>
        <v/>
      </c>
      <c r="G285" s="42" t="n"/>
      <c r="H285" s="42" t="n">
        <v>0</v>
      </c>
      <c r="I285" s="42" t="n">
        <v>1</v>
      </c>
    </row>
    <row r="286" ht="20.5" customFormat="1" customHeight="1" s="39">
      <c r="A286" s="41" t="n"/>
      <c r="B286" s="42" t="n"/>
      <c r="C286" s="42" t="n"/>
      <c r="D286" s="42" t="n"/>
      <c r="E286" s="42" t="n">
        <v>0</v>
      </c>
      <c r="F286" s="41">
        <f>A286</f>
        <v/>
      </c>
      <c r="G286" s="42" t="n"/>
      <c r="H286" s="42" t="n">
        <v>0</v>
      </c>
      <c r="I286" s="42" t="n">
        <v>1</v>
      </c>
    </row>
    <row r="287" ht="20.5" customFormat="1" customHeight="1" s="39">
      <c r="A287" s="41" t="n"/>
      <c r="B287" s="42" t="n"/>
      <c r="C287" s="42" t="n"/>
      <c r="D287" s="42" t="n"/>
      <c r="E287" s="42" t="n">
        <v>0</v>
      </c>
      <c r="F287" s="41">
        <f>A287</f>
        <v/>
      </c>
      <c r="G287" s="42" t="n"/>
      <c r="H287" s="42" t="n">
        <v>0</v>
      </c>
      <c r="I287" s="42" t="n">
        <v>1</v>
      </c>
    </row>
    <row r="288" ht="20.5" customFormat="1" customHeight="1" s="39">
      <c r="A288" s="41" t="n"/>
      <c r="B288" s="42" t="n"/>
      <c r="C288" s="42" t="n"/>
      <c r="D288" s="42" t="n"/>
      <c r="E288" s="42" t="n">
        <v>0</v>
      </c>
      <c r="F288" s="41">
        <f>A288</f>
        <v/>
      </c>
      <c r="G288" s="42" t="n"/>
      <c r="H288" s="42" t="n">
        <v>0</v>
      </c>
      <c r="I288" s="42" t="n">
        <v>1</v>
      </c>
    </row>
    <row r="289" ht="20.5" customFormat="1" customHeight="1" s="39">
      <c r="A289" s="41" t="n"/>
      <c r="B289" s="42" t="n"/>
      <c r="C289" s="42" t="n"/>
      <c r="D289" s="42" t="n"/>
      <c r="E289" s="42" t="n">
        <v>0</v>
      </c>
      <c r="F289" s="41">
        <f>A289</f>
        <v/>
      </c>
      <c r="G289" s="42" t="n"/>
      <c r="H289" s="42" t="n">
        <v>0</v>
      </c>
      <c r="I289" s="42" t="n">
        <v>1</v>
      </c>
    </row>
    <row r="290" ht="20.5" customFormat="1" customHeight="1" s="39">
      <c r="A290" s="41" t="n"/>
      <c r="B290" s="42" t="n"/>
      <c r="C290" s="42" t="n"/>
      <c r="D290" s="42" t="n"/>
      <c r="E290" s="42" t="n">
        <v>0</v>
      </c>
      <c r="F290" s="41">
        <f>A290</f>
        <v/>
      </c>
      <c r="G290" s="42" t="n"/>
      <c r="H290" s="42" t="n">
        <v>0</v>
      </c>
      <c r="I290" s="42" t="n">
        <v>1</v>
      </c>
    </row>
    <row r="291" ht="20.5" customFormat="1" customHeight="1" s="39">
      <c r="A291" s="41" t="n"/>
      <c r="B291" s="42" t="n"/>
      <c r="C291" s="42" t="n"/>
      <c r="D291" s="42" t="n"/>
      <c r="E291" s="42" t="n">
        <v>0</v>
      </c>
      <c r="F291" s="41">
        <f>A291</f>
        <v/>
      </c>
      <c r="G291" s="42" t="n"/>
      <c r="H291" s="42" t="n">
        <v>0</v>
      </c>
      <c r="I291" s="42" t="n">
        <v>1</v>
      </c>
    </row>
    <row r="292" ht="20.5" customFormat="1" customHeight="1" s="39">
      <c r="A292" s="41" t="n"/>
      <c r="B292" s="42" t="n"/>
      <c r="C292" s="42" t="n"/>
      <c r="D292" s="42" t="n"/>
      <c r="E292" s="42" t="n">
        <v>0</v>
      </c>
      <c r="F292" s="41">
        <f>A292</f>
        <v/>
      </c>
      <c r="G292" s="42" t="n"/>
      <c r="H292" s="42" t="n">
        <v>0</v>
      </c>
      <c r="I292" s="42" t="n">
        <v>1</v>
      </c>
    </row>
    <row r="293" ht="20.5" customFormat="1" customHeight="1" s="39">
      <c r="A293" s="41" t="n"/>
      <c r="B293" s="42" t="n"/>
      <c r="C293" s="42" t="n"/>
      <c r="D293" s="42" t="n"/>
      <c r="E293" s="42" t="n">
        <v>0</v>
      </c>
      <c r="F293" s="41">
        <f>A293</f>
        <v/>
      </c>
      <c r="G293" s="42" t="n"/>
      <c r="H293" s="42" t="n">
        <v>0</v>
      </c>
      <c r="I293" s="42" t="n">
        <v>1</v>
      </c>
    </row>
    <row r="294" ht="20.5" customFormat="1" customHeight="1" s="39">
      <c r="A294" s="41" t="n"/>
      <c r="B294" s="42" t="n"/>
      <c r="C294" s="42" t="n"/>
      <c r="D294" s="42" t="n"/>
      <c r="E294" s="42" t="n">
        <v>0</v>
      </c>
      <c r="F294" s="41">
        <f>A294</f>
        <v/>
      </c>
      <c r="G294" s="42" t="n"/>
      <c r="H294" s="42" t="n">
        <v>0</v>
      </c>
      <c r="I294" s="42" t="n">
        <v>1</v>
      </c>
    </row>
    <row r="295" ht="20.5" customFormat="1" customHeight="1" s="39">
      <c r="A295" s="41" t="n"/>
      <c r="B295" s="42" t="n"/>
      <c r="C295" s="42" t="n"/>
      <c r="D295" s="42" t="n"/>
      <c r="E295" s="42" t="n">
        <v>0</v>
      </c>
      <c r="F295" s="41">
        <f>A295</f>
        <v/>
      </c>
      <c r="G295" s="42" t="n"/>
      <c r="H295" s="42" t="n">
        <v>0</v>
      </c>
      <c r="I295" s="42" t="n">
        <v>1</v>
      </c>
    </row>
    <row r="296" ht="20.5" customFormat="1" customHeight="1" s="39">
      <c r="A296" s="41" t="n"/>
      <c r="B296" s="42" t="n"/>
      <c r="C296" s="42" t="n"/>
      <c r="D296" s="42" t="n"/>
      <c r="E296" s="42" t="n">
        <v>0</v>
      </c>
      <c r="F296" s="41">
        <f>A296</f>
        <v/>
      </c>
      <c r="G296" s="42" t="n"/>
      <c r="H296" s="42" t="n">
        <v>0</v>
      </c>
      <c r="I296" s="42" t="n">
        <v>1</v>
      </c>
    </row>
    <row r="297" ht="20.5" customFormat="1" customHeight="1" s="39">
      <c r="A297" s="41" t="n"/>
      <c r="B297" s="42" t="n"/>
      <c r="C297" s="42" t="n"/>
      <c r="D297" s="42" t="n"/>
      <c r="E297" s="42" t="n">
        <v>0</v>
      </c>
      <c r="F297" s="41">
        <f>A297</f>
        <v/>
      </c>
      <c r="G297" s="42" t="n"/>
      <c r="H297" s="42" t="n">
        <v>0</v>
      </c>
      <c r="I297" s="42" t="n">
        <v>1</v>
      </c>
    </row>
    <row r="298" ht="20.5" customFormat="1" customHeight="1" s="39">
      <c r="A298" s="41" t="n"/>
      <c r="B298" s="42" t="n"/>
      <c r="C298" s="42" t="n"/>
      <c r="D298" s="42" t="n"/>
      <c r="E298" s="42" t="n">
        <v>0</v>
      </c>
      <c r="F298" s="41">
        <f>A298</f>
        <v/>
      </c>
      <c r="G298" s="42" t="n"/>
      <c r="H298" s="42" t="n">
        <v>0</v>
      </c>
      <c r="I298" s="42" t="n">
        <v>1</v>
      </c>
    </row>
    <row r="299" ht="20.5" customFormat="1" customHeight="1" s="39">
      <c r="A299" s="41" t="n"/>
      <c r="B299" s="42" t="n"/>
      <c r="C299" s="42" t="n"/>
      <c r="D299" s="42" t="n"/>
      <c r="E299" s="42" t="n">
        <v>0</v>
      </c>
      <c r="F299" s="41">
        <f>A299</f>
        <v/>
      </c>
      <c r="G299" s="42" t="n"/>
      <c r="H299" s="42" t="n">
        <v>0</v>
      </c>
      <c r="I299" s="42" t="n">
        <v>1</v>
      </c>
    </row>
    <row r="300" ht="20.5" customFormat="1" customHeight="1" s="39">
      <c r="A300" s="41" t="n"/>
      <c r="B300" s="42" t="n"/>
      <c r="C300" s="42" t="n"/>
      <c r="D300" s="42" t="n"/>
      <c r="E300" s="42" t="n">
        <v>0</v>
      </c>
      <c r="F300" s="41">
        <f>A300</f>
        <v/>
      </c>
      <c r="G300" s="42" t="n"/>
      <c r="H300" s="42" t="n">
        <v>0</v>
      </c>
      <c r="I300" s="42" t="n">
        <v>1</v>
      </c>
    </row>
    <row r="301" ht="20.5" customFormat="1" customHeight="1" s="39">
      <c r="A301" s="41" t="n"/>
      <c r="B301" s="42" t="n"/>
      <c r="C301" s="42" t="n"/>
      <c r="D301" s="42" t="n"/>
      <c r="E301" s="42" t="n">
        <v>0</v>
      </c>
      <c r="F301" s="41">
        <f>A301</f>
        <v/>
      </c>
      <c r="G301" s="42" t="n"/>
      <c r="H301" s="42" t="n">
        <v>0</v>
      </c>
      <c r="I301" s="42" t="n">
        <v>1</v>
      </c>
    </row>
    <row r="302" ht="20.5" customFormat="1" customHeight="1" s="39">
      <c r="A302" s="41" t="n"/>
      <c r="B302" s="42" t="n"/>
      <c r="C302" s="42" t="n"/>
      <c r="D302" s="42" t="n"/>
      <c r="E302" s="42" t="n">
        <v>0</v>
      </c>
      <c r="F302" s="41">
        <f>A302</f>
        <v/>
      </c>
      <c r="G302" s="42" t="n"/>
      <c r="H302" s="42" t="n">
        <v>0</v>
      </c>
      <c r="I302" s="42" t="n">
        <v>1</v>
      </c>
    </row>
    <row r="303" ht="20.5" customFormat="1" customHeight="1" s="39">
      <c r="A303" s="41" t="n"/>
      <c r="B303" s="42" t="n"/>
      <c r="C303" s="42" t="n"/>
      <c r="D303" s="42" t="n"/>
      <c r="E303" s="42" t="n">
        <v>0</v>
      </c>
      <c r="F303" s="41">
        <f>A303</f>
        <v/>
      </c>
      <c r="G303" s="42" t="n"/>
      <c r="H303" s="42" t="n">
        <v>0</v>
      </c>
      <c r="I303" s="42" t="n">
        <v>1</v>
      </c>
    </row>
    <row r="304" ht="20.5" customFormat="1" customHeight="1" s="39">
      <c r="A304" s="41" t="n"/>
      <c r="B304" s="42" t="n"/>
      <c r="C304" s="42" t="n"/>
      <c r="D304" s="42" t="n"/>
      <c r="E304" s="42" t="n">
        <v>0</v>
      </c>
      <c r="F304" s="41">
        <f>A304</f>
        <v/>
      </c>
      <c r="G304" s="42" t="n"/>
      <c r="H304" s="42" t="n">
        <v>0</v>
      </c>
      <c r="I304" s="42" t="n">
        <v>1</v>
      </c>
    </row>
    <row r="305" ht="20.5" customFormat="1" customHeight="1" s="39">
      <c r="A305" s="41" t="n"/>
      <c r="B305" s="42" t="n"/>
      <c r="C305" s="42" t="n"/>
      <c r="D305" s="42" t="n"/>
      <c r="E305" s="42" t="n">
        <v>0</v>
      </c>
      <c r="F305" s="41">
        <f>A305</f>
        <v/>
      </c>
      <c r="G305" s="42" t="n"/>
      <c r="H305" s="42" t="n">
        <v>0</v>
      </c>
      <c r="I305" s="42" t="n">
        <v>1</v>
      </c>
    </row>
    <row r="306" ht="20.5" customFormat="1" customHeight="1" s="39">
      <c r="A306" s="41" t="n"/>
      <c r="B306" s="42" t="n"/>
      <c r="C306" s="42" t="n"/>
      <c r="D306" s="42" t="n"/>
      <c r="E306" s="42" t="n">
        <v>0</v>
      </c>
      <c r="F306" s="41">
        <f>A306</f>
        <v/>
      </c>
      <c r="G306" s="42" t="n"/>
      <c r="H306" s="42" t="n">
        <v>0</v>
      </c>
      <c r="I306" s="42" t="n">
        <v>1</v>
      </c>
    </row>
    <row r="307" ht="20.5" customFormat="1" customHeight="1" s="39">
      <c r="A307" s="41" t="n"/>
      <c r="B307" s="42" t="n"/>
      <c r="C307" s="42" t="n"/>
      <c r="D307" s="42" t="n"/>
      <c r="E307" s="42" t="n">
        <v>0</v>
      </c>
      <c r="F307" s="41">
        <f>A307</f>
        <v/>
      </c>
      <c r="G307" s="42" t="n"/>
      <c r="H307" s="42" t="n">
        <v>0</v>
      </c>
      <c r="I307" s="42" t="n">
        <v>1</v>
      </c>
    </row>
    <row r="308" ht="20.5" customFormat="1" customHeight="1" s="39">
      <c r="A308" s="41" t="n"/>
      <c r="B308" s="42" t="n"/>
      <c r="C308" s="42" t="n"/>
      <c r="D308" s="42" t="n"/>
      <c r="E308" s="42" t="n">
        <v>0</v>
      </c>
      <c r="F308" s="41">
        <f>A308</f>
        <v/>
      </c>
      <c r="G308" s="42" t="n"/>
      <c r="H308" s="42" t="n">
        <v>0</v>
      </c>
      <c r="I308" s="42" t="n">
        <v>1</v>
      </c>
    </row>
    <row r="309" ht="20.5" customFormat="1" customHeight="1" s="39">
      <c r="A309" s="41" t="n"/>
      <c r="B309" s="42" t="n"/>
      <c r="C309" s="42" t="n"/>
      <c r="D309" s="42" t="n"/>
      <c r="E309" s="42" t="n">
        <v>0</v>
      </c>
      <c r="F309" s="41">
        <f>A309</f>
        <v/>
      </c>
      <c r="G309" s="42" t="n"/>
      <c r="H309" s="42" t="n">
        <v>0</v>
      </c>
      <c r="I309" s="42" t="n">
        <v>1</v>
      </c>
    </row>
    <row r="310" ht="20.5" customFormat="1" customHeight="1" s="39">
      <c r="A310" s="41" t="n"/>
      <c r="B310" s="42" t="n"/>
      <c r="C310" s="42" t="n"/>
      <c r="D310" s="42" t="n"/>
      <c r="E310" s="42" t="n">
        <v>0</v>
      </c>
      <c r="F310" s="41">
        <f>A310</f>
        <v/>
      </c>
      <c r="G310" s="42" t="n"/>
      <c r="H310" s="42" t="n">
        <v>0</v>
      </c>
      <c r="I310" s="42" t="n">
        <v>1</v>
      </c>
    </row>
    <row r="311" ht="20.5" customFormat="1" customHeight="1" s="39">
      <c r="A311" s="41" t="n"/>
      <c r="B311" s="42" t="n"/>
      <c r="C311" s="42" t="n"/>
      <c r="D311" s="42" t="n"/>
      <c r="E311" s="42" t="n">
        <v>0</v>
      </c>
      <c r="F311" s="41">
        <f>A311</f>
        <v/>
      </c>
      <c r="G311" s="42" t="n"/>
      <c r="H311" s="42" t="n">
        <v>0</v>
      </c>
      <c r="I311" s="42" t="n">
        <v>1</v>
      </c>
    </row>
    <row r="312" ht="20.5" customFormat="1" customHeight="1" s="39">
      <c r="A312" s="41" t="n"/>
      <c r="B312" s="42" t="n"/>
      <c r="C312" s="42" t="n"/>
      <c r="D312" s="42" t="n"/>
      <c r="E312" s="42" t="n">
        <v>0</v>
      </c>
      <c r="F312" s="41">
        <f>A312</f>
        <v/>
      </c>
      <c r="G312" s="42" t="n"/>
      <c r="H312" s="42" t="n">
        <v>0</v>
      </c>
      <c r="I312" s="42" t="n">
        <v>1</v>
      </c>
    </row>
    <row r="313" ht="20.5" customFormat="1" customHeight="1" s="39">
      <c r="A313" s="41" t="n"/>
      <c r="B313" s="42" t="n"/>
      <c r="C313" s="42" t="n"/>
      <c r="D313" s="42" t="n"/>
      <c r="E313" s="42" t="n">
        <v>0</v>
      </c>
      <c r="F313" s="41">
        <f>A313</f>
        <v/>
      </c>
      <c r="G313" s="42" t="n"/>
      <c r="H313" s="42" t="n">
        <v>0</v>
      </c>
      <c r="I313" s="42" t="n">
        <v>1</v>
      </c>
    </row>
    <row r="314" ht="20.5" customFormat="1" customHeight="1" s="39">
      <c r="A314" s="41" t="n"/>
      <c r="B314" s="42" t="n"/>
      <c r="C314" s="42" t="n"/>
      <c r="D314" s="42" t="n"/>
      <c r="E314" s="42" t="n">
        <v>0</v>
      </c>
      <c r="F314" s="41">
        <f>A314</f>
        <v/>
      </c>
      <c r="G314" s="42" t="n"/>
      <c r="H314" s="42" t="n">
        <v>0</v>
      </c>
      <c r="I314" s="42" t="n">
        <v>1</v>
      </c>
    </row>
    <row r="315" ht="20.5" customFormat="1" customHeight="1" s="39">
      <c r="A315" s="41" t="n"/>
      <c r="B315" s="42" t="n"/>
      <c r="C315" s="42" t="n"/>
      <c r="D315" s="42" t="n"/>
      <c r="E315" s="42" t="n">
        <v>0</v>
      </c>
      <c r="F315" s="41">
        <f>A315</f>
        <v/>
      </c>
      <c r="G315" s="42" t="n"/>
      <c r="H315" s="42" t="n">
        <v>0</v>
      </c>
      <c r="I315" s="42" t="n">
        <v>1</v>
      </c>
    </row>
    <row r="316" ht="18" customFormat="1" customHeight="1" s="39">
      <c r="A316" s="41" t="n"/>
      <c r="B316" s="42" t="n"/>
      <c r="C316" s="42" t="n"/>
      <c r="D316" s="42" t="n"/>
      <c r="E316" s="42" t="n">
        <v>0</v>
      </c>
      <c r="F316" s="41">
        <f>A316</f>
        <v/>
      </c>
      <c r="G316" s="42" t="n"/>
      <c r="H316" s="42" t="n">
        <v>0</v>
      </c>
      <c r="I316" s="42" t="n">
        <v>1</v>
      </c>
    </row>
    <row r="317" ht="18" customFormat="1" customHeight="1" s="39">
      <c r="A317" s="41" t="n"/>
      <c r="B317" s="42" t="n"/>
      <c r="C317" s="42" t="n"/>
      <c r="D317" s="42" t="n"/>
      <c r="E317" s="42" t="n">
        <v>0</v>
      </c>
      <c r="F317" s="41">
        <f>A317</f>
        <v/>
      </c>
      <c r="G317" s="42" t="n"/>
      <c r="H317" s="42" t="n">
        <v>0</v>
      </c>
      <c r="I317" s="42" t="n">
        <v>1</v>
      </c>
    </row>
    <row r="318" ht="18" customFormat="1" customHeight="1" s="39">
      <c r="A318" s="41" t="inlineStr">
        <is>
          <t>10</t>
        </is>
      </c>
      <c r="B318" s="42" t="n"/>
      <c r="C318" s="42" t="n"/>
      <c r="D318" s="42" t="n"/>
      <c r="E318" s="42" t="n">
        <v>0</v>
      </c>
      <c r="F318" s="41">
        <f>A318</f>
        <v/>
      </c>
      <c r="G318" s="42" t="n"/>
      <c r="H318" s="42" t="n">
        <v>0</v>
      </c>
      <c r="I318" s="42" t="n">
        <v>1</v>
      </c>
    </row>
    <row r="319" ht="18" customFormat="1" customHeight="1" s="39">
      <c r="A319" s="41" t="n"/>
      <c r="B319" s="42" t="n"/>
      <c r="C319" s="42" t="n"/>
      <c r="D319" s="42" t="n"/>
      <c r="E319" s="42" t="n">
        <v>0</v>
      </c>
      <c r="F319" s="41">
        <f>A319</f>
        <v/>
      </c>
      <c r="G319" s="42" t="n"/>
      <c r="H319" s="42" t="n">
        <v>0</v>
      </c>
      <c r="I319" s="42" t="n">
        <v>1</v>
      </c>
    </row>
    <row r="320" ht="18" customFormat="1" customHeight="1" s="39">
      <c r="A320" s="41" t="n"/>
      <c r="B320" s="42" t="n"/>
      <c r="C320" s="42" t="n"/>
      <c r="D320" s="42" t="n"/>
      <c r="E320" s="42" t="n">
        <v>0</v>
      </c>
      <c r="F320" s="41">
        <f>A320</f>
        <v/>
      </c>
      <c r="G320" s="42" t="n"/>
      <c r="H320" s="42" t="n">
        <v>0</v>
      </c>
      <c r="I320" s="42" t="n">
        <v>1</v>
      </c>
    </row>
    <row r="321" ht="18" customFormat="1" customHeight="1" s="39">
      <c r="A321" s="41" t="n"/>
      <c r="B321" s="42" t="n"/>
      <c r="C321" s="42" t="n"/>
      <c r="D321" s="42" t="n"/>
      <c r="E321" s="42" t="n">
        <v>0</v>
      </c>
      <c r="F321" s="41">
        <f>A321</f>
        <v/>
      </c>
      <c r="G321" s="42" t="n"/>
      <c r="H321" s="42" t="n">
        <v>0</v>
      </c>
      <c r="I321" s="42" t="n">
        <v>1</v>
      </c>
    </row>
    <row r="322" ht="18" customFormat="1" customHeight="1" s="39">
      <c r="A322" s="41" t="n"/>
      <c r="B322" s="42" t="n"/>
      <c r="C322" s="42" t="n"/>
      <c r="D322" s="42" t="n"/>
      <c r="E322" s="42" t="n">
        <v>0</v>
      </c>
      <c r="F322" s="41">
        <f>A322</f>
        <v/>
      </c>
      <c r="G322" s="42" t="n"/>
      <c r="H322" s="42" t="n">
        <v>0</v>
      </c>
      <c r="I322" s="42" t="n">
        <v>1</v>
      </c>
    </row>
    <row r="323" ht="18" customFormat="1" customHeight="1" s="39">
      <c r="A323" s="41" t="n"/>
      <c r="B323" s="42" t="n"/>
      <c r="C323" s="42" t="n"/>
      <c r="D323" s="42" t="n"/>
      <c r="E323" s="42" t="n">
        <v>0</v>
      </c>
      <c r="F323" s="41">
        <f>A323</f>
        <v/>
      </c>
      <c r="G323" s="42" t="n"/>
      <c r="H323" s="42" t="n">
        <v>0</v>
      </c>
      <c r="I323" s="42" t="n">
        <v>1</v>
      </c>
    </row>
    <row r="324" ht="18" customFormat="1" customHeight="1" s="39">
      <c r="A324" s="41" t="n"/>
      <c r="B324" s="42" t="n"/>
      <c r="C324" s="42" t="n"/>
      <c r="D324" s="42" t="n"/>
      <c r="E324" s="42" t="n">
        <v>0</v>
      </c>
      <c r="F324" s="41">
        <f>A324</f>
        <v/>
      </c>
      <c r="G324" s="42" t="n"/>
      <c r="H324" s="42" t="n">
        <v>0</v>
      </c>
      <c r="I324" s="42" t="n">
        <v>1</v>
      </c>
    </row>
    <row r="325" ht="18" customFormat="1" customHeight="1" s="39">
      <c r="A325" s="42" t="n"/>
      <c r="B325" s="42" t="n"/>
      <c r="C325" s="42" t="n"/>
      <c r="D325" s="42" t="n"/>
      <c r="E325" s="42" t="n">
        <v>0</v>
      </c>
      <c r="F325" s="41">
        <f>A325</f>
        <v/>
      </c>
      <c r="G325" s="42" t="n"/>
      <c r="H325" s="42" t="n">
        <v>0</v>
      </c>
      <c r="I325" s="42" t="n">
        <v>1</v>
      </c>
    </row>
    <row r="326" ht="18" customFormat="1" customHeight="1" s="39">
      <c r="A326" s="42" t="n"/>
      <c r="B326" s="42" t="n"/>
      <c r="C326" s="42" t="n"/>
      <c r="D326" s="42" t="n"/>
      <c r="E326" s="42" t="n">
        <v>0</v>
      </c>
      <c r="F326" s="41">
        <f>A326</f>
        <v/>
      </c>
      <c r="G326" s="42" t="n"/>
      <c r="H326" s="42" t="n">
        <v>0</v>
      </c>
      <c r="I326" s="4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:XFD1048576"/>
    </sheetView>
  </sheetViews>
  <sheetFormatPr baseColWidth="8" defaultRowHeight="12.5"/>
  <cols>
    <col width="32.7265625" customWidth="1" min="1" max="1"/>
    <col width="14.26953125" customWidth="1" min="2" max="2"/>
    <col width="14.1796875" customWidth="1" min="3" max="3"/>
    <col width="26.81640625" customWidth="1" min="6" max="6"/>
    <col width="15.7265625" customWidth="1" min="8" max="8"/>
  </cols>
  <sheetData>
    <row r="1" ht="20.5" customFormat="1" customHeight="1" s="39">
      <c r="A1" s="40" t="inlineStr">
        <is>
          <t>Item</t>
        </is>
      </c>
      <c r="B1" s="41" t="inlineStr">
        <is>
          <t>Material Code</t>
        </is>
      </c>
      <c r="C1" s="41" t="inlineStr">
        <is>
          <t>Price</t>
        </is>
      </c>
      <c r="D1" s="42" t="n"/>
      <c r="E1" s="42" t="n"/>
      <c r="F1" s="42" t="n"/>
      <c r="G1" s="42" t="n"/>
      <c r="H1" s="42" t="n"/>
      <c r="I1" s="42" t="n"/>
    </row>
    <row r="2" ht="20.9" customFormat="1" customHeight="1" s="39">
      <c r="A2" s="40" t="n"/>
      <c r="B2" s="43" t="n"/>
      <c r="C2" s="42" t="n"/>
      <c r="D2" s="42" t="n"/>
      <c r="E2" s="42" t="n"/>
      <c r="F2" s="42" t="n"/>
      <c r="G2" s="42" t="n"/>
      <c r="H2" s="42" t="n"/>
      <c r="I2" s="42" t="n"/>
    </row>
    <row r="3" ht="21.25" customFormat="1" customHeight="1" s="39">
      <c r="A3" s="40" t="inlineStr">
        <is>
          <t>1/4” Flex</t>
        </is>
      </c>
      <c r="B3" s="41" t="inlineStr">
        <is>
          <t>14f</t>
        </is>
      </c>
      <c r="C3" s="44" t="n">
        <v>0.6</v>
      </c>
      <c r="D3" s="42" t="n"/>
      <c r="E3" s="41" t="inlineStr">
        <is>
          <t>14f</t>
        </is>
      </c>
      <c r="F3" s="41">
        <f>A3</f>
        <v/>
      </c>
      <c r="G3" s="42" t="n"/>
      <c r="H3" s="41" t="inlineStr">
        <is>
          <t>14f</t>
        </is>
      </c>
      <c r="I3" s="41" t="inlineStr">
        <is>
          <t>Sqft</t>
        </is>
      </c>
    </row>
    <row r="4" ht="21.25" customFormat="1" customHeight="1" s="39">
      <c r="A4" s="40" t="inlineStr">
        <is>
          <t>1/2” Std</t>
        </is>
      </c>
      <c r="B4" s="41" t="inlineStr">
        <is>
          <t>12std</t>
        </is>
      </c>
      <c r="C4" s="44" t="n">
        <v>0.465</v>
      </c>
      <c r="D4" s="42" t="n"/>
      <c r="E4" s="41" t="inlineStr">
        <is>
          <t>12std</t>
        </is>
      </c>
      <c r="F4" s="41">
        <f>A4</f>
        <v/>
      </c>
      <c r="G4" s="42" t="n"/>
      <c r="H4" s="41" t="inlineStr">
        <is>
          <t>12std</t>
        </is>
      </c>
      <c r="I4" s="41" t="inlineStr">
        <is>
          <t>Sqft</t>
        </is>
      </c>
    </row>
    <row r="5" ht="21.25" customFormat="1" customHeight="1" s="39">
      <c r="A5" s="40" t="inlineStr">
        <is>
          <t>1/2” CD</t>
        </is>
      </c>
      <c r="B5" s="41" t="inlineStr">
        <is>
          <t>12cd</t>
        </is>
      </c>
      <c r="C5" s="44" t="n">
        <v>0.63</v>
      </c>
      <c r="D5" s="42" t="n"/>
      <c r="E5" s="41" t="inlineStr">
        <is>
          <t>12cd</t>
        </is>
      </c>
      <c r="F5" s="41">
        <f>A5</f>
        <v/>
      </c>
      <c r="G5" s="42" t="n"/>
      <c r="H5" s="41" t="inlineStr">
        <is>
          <t>12cd</t>
        </is>
      </c>
      <c r="I5" s="41" t="inlineStr">
        <is>
          <t>Sqft</t>
        </is>
      </c>
    </row>
    <row r="6" ht="21.25" customFormat="1" customHeight="1" s="39">
      <c r="A6" s="40" t="inlineStr">
        <is>
          <t>1/2” Std 54”</t>
        </is>
      </c>
      <c r="B6" s="41" t="inlineStr">
        <is>
          <t>54STD</t>
        </is>
      </c>
      <c r="C6" s="44" t="n">
        <v>0.628</v>
      </c>
      <c r="D6" s="42" t="n"/>
      <c r="E6" s="41" t="inlineStr">
        <is>
          <t>54STD</t>
        </is>
      </c>
      <c r="F6" s="41">
        <f>A6</f>
        <v/>
      </c>
      <c r="G6" s="42" t="n"/>
      <c r="H6" s="41" t="inlineStr">
        <is>
          <t>54STD</t>
        </is>
      </c>
      <c r="I6" s="41" t="inlineStr">
        <is>
          <t>Sqft</t>
        </is>
      </c>
    </row>
    <row r="7" ht="21.25" customFormat="1" customHeight="1" s="39">
      <c r="A7" s="40" t="inlineStr">
        <is>
          <t>1/2” Type C</t>
        </is>
      </c>
      <c r="B7" s="41" t="inlineStr">
        <is>
          <t>12tc</t>
        </is>
      </c>
      <c r="C7" s="44" t="n">
        <v>0.578</v>
      </c>
      <c r="D7" s="42" t="n"/>
      <c r="E7" s="41" t="inlineStr">
        <is>
          <t>12tc</t>
        </is>
      </c>
      <c r="F7" s="41">
        <f>A7</f>
        <v/>
      </c>
      <c r="G7" s="42" t="n"/>
      <c r="H7" s="41" t="inlineStr">
        <is>
          <t>12tc</t>
        </is>
      </c>
      <c r="I7" s="41" t="inlineStr">
        <is>
          <t>Sqft</t>
        </is>
      </c>
    </row>
    <row r="8" ht="21.25" customFormat="1" customHeight="1" s="39">
      <c r="A8" s="40" t="inlineStr">
        <is>
          <t>1/2” Mould Resistant</t>
        </is>
      </c>
      <c r="B8" s="41" t="inlineStr">
        <is>
          <t>12mr</t>
        </is>
      </c>
      <c r="C8" s="44" t="n">
        <v>1.215</v>
      </c>
      <c r="D8" s="42" t="n"/>
      <c r="E8" s="41" t="inlineStr">
        <is>
          <t>12mr</t>
        </is>
      </c>
      <c r="F8" s="41">
        <f>A8</f>
        <v/>
      </c>
      <c r="G8" s="42" t="n"/>
      <c r="H8" s="41" t="inlineStr">
        <is>
          <t>12mr</t>
        </is>
      </c>
      <c r="I8" s="41" t="inlineStr">
        <is>
          <t>Sqft</t>
        </is>
      </c>
    </row>
    <row r="9" ht="21.25" customFormat="1" customHeight="1" s="39">
      <c r="A9" s="40" t="inlineStr">
        <is>
          <t>5/8” Type X</t>
        </is>
      </c>
      <c r="B9" s="41" t="inlineStr">
        <is>
          <t>58tx</t>
        </is>
      </c>
      <c r="C9" s="44" t="n">
        <v>0.578</v>
      </c>
      <c r="D9" s="42" t="n"/>
      <c r="E9" s="41" t="inlineStr">
        <is>
          <t>58tx</t>
        </is>
      </c>
      <c r="F9" s="41">
        <f>A9</f>
        <v/>
      </c>
      <c r="G9" s="42" t="n"/>
      <c r="H9" s="41" t="inlineStr">
        <is>
          <t>58tx</t>
        </is>
      </c>
      <c r="I9" s="41" t="inlineStr">
        <is>
          <t>Sqft</t>
        </is>
      </c>
    </row>
    <row r="10" ht="21.25" customFormat="1" customHeight="1" s="39">
      <c r="A10" s="40" t="inlineStr">
        <is>
          <t>5/8” Mould Resistant</t>
        </is>
      </c>
      <c r="B10" s="41" t="inlineStr">
        <is>
          <t>58mr</t>
        </is>
      </c>
      <c r="C10" s="44" t="n">
        <v>1.415</v>
      </c>
      <c r="D10" s="42" t="n"/>
      <c r="E10" s="41" t="inlineStr">
        <is>
          <t>58mr</t>
        </is>
      </c>
      <c r="F10" s="41">
        <f>A10</f>
        <v/>
      </c>
      <c r="G10" s="42" t="n"/>
      <c r="H10" s="41" t="inlineStr">
        <is>
          <t>58mr</t>
        </is>
      </c>
      <c r="I10" s="41" t="inlineStr">
        <is>
          <t>Sqft</t>
        </is>
      </c>
    </row>
    <row r="11" ht="21.25" customFormat="1" customHeight="1" s="39">
      <c r="A11" s="40" t="inlineStr">
        <is>
          <t>5/8” Type X 54”</t>
        </is>
      </c>
      <c r="B11" s="41" t="inlineStr">
        <is>
          <t>54tx</t>
        </is>
      </c>
      <c r="C11" s="44" t="inlineStr">
        <is>
          <t>?</t>
        </is>
      </c>
      <c r="D11" s="42" t="n"/>
      <c r="E11" s="41" t="inlineStr">
        <is>
          <t>54tx</t>
        </is>
      </c>
      <c r="F11" s="41">
        <f>A11</f>
        <v/>
      </c>
      <c r="G11" s="42" t="n"/>
      <c r="H11" s="41" t="inlineStr">
        <is>
          <t>54tx</t>
        </is>
      </c>
      <c r="I11" s="41" t="inlineStr">
        <is>
          <t>Sqft</t>
        </is>
      </c>
    </row>
    <row r="12" ht="21.25" customFormat="1" customHeight="1" s="39">
      <c r="A12" s="40" t="inlineStr">
        <is>
          <t>5/8” Type C</t>
        </is>
      </c>
      <c r="B12" s="41" t="inlineStr">
        <is>
          <t>58tc</t>
        </is>
      </c>
      <c r="C12" s="44" t="n">
        <v>0.578</v>
      </c>
      <c r="D12" s="42" t="n"/>
      <c r="E12" s="41" t="inlineStr">
        <is>
          <t>58tc</t>
        </is>
      </c>
      <c r="F12" s="41">
        <f>A12</f>
        <v/>
      </c>
      <c r="G12" s="42" t="n"/>
      <c r="H12" s="41" t="inlineStr">
        <is>
          <t>58tc</t>
        </is>
      </c>
      <c r="I12" s="41" t="inlineStr">
        <is>
          <t>Sqft</t>
        </is>
      </c>
    </row>
    <row r="13" ht="21.25" customFormat="1" customHeight="1" s="39">
      <c r="A13" s="40" t="inlineStr">
        <is>
          <t>1/2” GlassRoc</t>
        </is>
      </c>
      <c r="B13" s="41" t="inlineStr">
        <is>
          <t>12gr</t>
        </is>
      </c>
      <c r="C13" s="44" t="n">
        <v>1.28</v>
      </c>
      <c r="D13" s="42" t="n"/>
      <c r="E13" s="41" t="inlineStr">
        <is>
          <t>12gr</t>
        </is>
      </c>
      <c r="F13" s="41">
        <f>A13</f>
        <v/>
      </c>
      <c r="G13" s="42" t="n"/>
      <c r="H13" s="41" t="inlineStr">
        <is>
          <t>12gr</t>
        </is>
      </c>
      <c r="I13" s="41" t="inlineStr">
        <is>
          <t>Sqft</t>
        </is>
      </c>
    </row>
    <row r="14" ht="21.25" customFormat="1" customHeight="1" s="39">
      <c r="A14" s="40" t="inlineStr">
        <is>
          <t>5/8” GlassRoc</t>
        </is>
      </c>
      <c r="B14" s="41" t="inlineStr">
        <is>
          <t>58gr</t>
        </is>
      </c>
      <c r="C14" s="44" t="n">
        <v>1.39</v>
      </c>
      <c r="D14" s="42" t="n"/>
      <c r="E14" s="41" t="inlineStr">
        <is>
          <t>58gr</t>
        </is>
      </c>
      <c r="F14" s="41">
        <f>A14</f>
        <v/>
      </c>
      <c r="G14" s="42" t="n"/>
      <c r="H14" s="41" t="inlineStr">
        <is>
          <t>58gr</t>
        </is>
      </c>
      <c r="I14" s="41" t="inlineStr">
        <is>
          <t>Sqft</t>
        </is>
      </c>
    </row>
    <row r="15" ht="21.25" customFormat="1" customHeight="1" s="39">
      <c r="A15" s="40" t="inlineStr">
        <is>
          <t>1/2” DiamondBacker</t>
        </is>
      </c>
      <c r="B15" s="41" t="inlineStr">
        <is>
          <t>12db</t>
        </is>
      </c>
      <c r="C15" s="44" t="n">
        <v>2.22</v>
      </c>
      <c r="D15" s="42" t="n"/>
      <c r="E15" s="41" t="inlineStr">
        <is>
          <t>12db</t>
        </is>
      </c>
      <c r="F15" s="41">
        <f>A15</f>
        <v/>
      </c>
      <c r="G15" s="42" t="n"/>
      <c r="H15" s="41" t="inlineStr">
        <is>
          <t>12db</t>
        </is>
      </c>
      <c r="I15" s="41" t="inlineStr">
        <is>
          <t>Sqft</t>
        </is>
      </c>
    </row>
    <row r="16" ht="21.25" customFormat="1" customHeight="1" s="39">
      <c r="A16" s="40" t="inlineStr">
        <is>
          <t>5/8” DiamondBacker</t>
        </is>
      </c>
      <c r="B16" s="41" t="inlineStr">
        <is>
          <t>58db</t>
        </is>
      </c>
      <c r="C16" s="44" t="n">
        <v>2.71</v>
      </c>
      <c r="D16" s="42" t="n"/>
      <c r="E16" s="41" t="inlineStr">
        <is>
          <t>58db</t>
        </is>
      </c>
      <c r="F16" s="41">
        <f>A16</f>
        <v/>
      </c>
      <c r="G16" s="42" t="n"/>
      <c r="H16" s="41" t="inlineStr">
        <is>
          <t>58db</t>
        </is>
      </c>
      <c r="I16" s="41" t="inlineStr">
        <is>
          <t>Sqft</t>
        </is>
      </c>
    </row>
    <row r="17" ht="21.25" customFormat="1" customHeight="1" s="39">
      <c r="A17" s="40" t="inlineStr">
        <is>
          <t>1” GlassRoc ShaftLiner</t>
        </is>
      </c>
      <c r="B17" s="41" t="inlineStr">
        <is>
          <t>1grsl</t>
        </is>
      </c>
      <c r="C17" s="44" t="n">
        <v>2.17</v>
      </c>
      <c r="D17" s="42" t="n"/>
      <c r="E17" s="41" t="inlineStr">
        <is>
          <t>1grsl</t>
        </is>
      </c>
      <c r="F17" s="41">
        <f>A17</f>
        <v/>
      </c>
      <c r="G17" s="42" t="n"/>
      <c r="H17" s="41" t="inlineStr">
        <is>
          <t>1grsl</t>
        </is>
      </c>
      <c r="I17" s="41" t="inlineStr">
        <is>
          <t>Sqft</t>
        </is>
      </c>
    </row>
    <row r="18" ht="21.25" customFormat="1" customHeight="1" s="39">
      <c r="A18" s="40" t="inlineStr">
        <is>
          <t>1” M2 Tech Shaftliner</t>
        </is>
      </c>
      <c r="B18" s="41" t="inlineStr">
        <is>
          <t>1m2sl</t>
        </is>
      </c>
      <c r="C18" s="42" t="n">
        <v>1.89</v>
      </c>
      <c r="D18" s="42" t="n"/>
      <c r="E18" s="41" t="inlineStr">
        <is>
          <t>1m2sl</t>
        </is>
      </c>
      <c r="F18" s="41">
        <f>A18</f>
        <v/>
      </c>
      <c r="G18" s="41" t="n"/>
      <c r="H18" s="41" t="inlineStr">
        <is>
          <t>1m2sl</t>
        </is>
      </c>
      <c r="I18" s="41" t="inlineStr">
        <is>
          <t>Sqft</t>
        </is>
      </c>
    </row>
    <row r="19" ht="21.25" customFormat="1" customHeight="1" s="39">
      <c r="A19" s="40" t="inlineStr">
        <is>
          <t>1/2” Durock Tile Backer</t>
        </is>
      </c>
      <c r="B19" s="41" t="inlineStr">
        <is>
          <t>12dr</t>
        </is>
      </c>
      <c r="C19" s="42" t="n">
        <v>2.25</v>
      </c>
      <c r="D19" s="42" t="n"/>
      <c r="E19" s="41" t="inlineStr">
        <is>
          <t>12dr</t>
        </is>
      </c>
      <c r="F19" s="41">
        <f>A19</f>
        <v/>
      </c>
      <c r="G19" s="41" t="n"/>
      <c r="H19" s="41" t="inlineStr">
        <is>
          <t>12dr</t>
        </is>
      </c>
      <c r="I19" s="41" t="inlineStr">
        <is>
          <t>Sqft</t>
        </is>
      </c>
    </row>
    <row r="20" ht="21.25" customFormat="1" customHeight="1" s="39">
      <c r="A20" s="40" t="inlineStr">
        <is>
          <t>5/8” Durock Tile Backer</t>
        </is>
      </c>
      <c r="B20" s="41" t="inlineStr">
        <is>
          <t>58dr</t>
        </is>
      </c>
      <c r="C20" s="42" t="n">
        <v>2.761</v>
      </c>
      <c r="D20" s="42" t="n"/>
      <c r="E20" s="41" t="inlineStr">
        <is>
          <t>58dr</t>
        </is>
      </c>
      <c r="F20" s="41">
        <f>A20</f>
        <v/>
      </c>
      <c r="G20" s="41" t="n"/>
      <c r="H20" s="41" t="inlineStr">
        <is>
          <t>58dr</t>
        </is>
      </c>
      <c r="I20" s="41" t="inlineStr">
        <is>
          <t>Sqft</t>
        </is>
      </c>
    </row>
    <row r="21" ht="21.25" customFormat="1" customHeight="1" s="39">
      <c r="A21" s="40" t="inlineStr">
        <is>
          <t>3/4" Plywood</t>
        </is>
      </c>
      <c r="B21" s="41" t="inlineStr">
        <is>
          <t>34pw</t>
        </is>
      </c>
      <c r="C21" s="42" t="n">
        <v>4</v>
      </c>
      <c r="D21" s="42" t="n"/>
      <c r="E21" s="41" t="inlineStr">
        <is>
          <t>34pw</t>
        </is>
      </c>
      <c r="F21" s="41">
        <f>A21</f>
        <v/>
      </c>
      <c r="G21" s="41" t="n"/>
      <c r="H21" s="41" t="inlineStr">
        <is>
          <t>34pw</t>
        </is>
      </c>
      <c r="I21" s="41" t="inlineStr">
        <is>
          <t>Sqft</t>
        </is>
      </c>
    </row>
    <row r="22" ht="21.25" customFormat="1" customHeight="1" s="39">
      <c r="A22" s="40" t="inlineStr">
        <is>
          <t>5/8" Plywood</t>
        </is>
      </c>
      <c r="B22" s="41" t="inlineStr">
        <is>
          <t>58pw</t>
        </is>
      </c>
      <c r="C22" s="42" t="n">
        <v>3.5</v>
      </c>
      <c r="D22" s="42" t="n"/>
      <c r="E22" s="41" t="inlineStr">
        <is>
          <t>58pw</t>
        </is>
      </c>
      <c r="F22" s="41">
        <f>A22</f>
        <v/>
      </c>
      <c r="G22" s="41" t="n"/>
      <c r="H22" s="41" t="inlineStr">
        <is>
          <t>58pw</t>
        </is>
      </c>
      <c r="I22" s="41" t="inlineStr">
        <is>
          <t>Sqft</t>
        </is>
      </c>
    </row>
    <row r="23" ht="21.25" customFormat="1" customHeight="1" s="39">
      <c r="A23" s="40" t="inlineStr">
        <is>
          <t>1/2" Fire Rated Plywood</t>
        </is>
      </c>
      <c r="B23" s="41" t="inlineStr">
        <is>
          <t>12pw</t>
        </is>
      </c>
      <c r="C23" s="42" t="n">
        <v>3</v>
      </c>
      <c r="D23" s="42" t="n"/>
      <c r="E23" s="41" t="inlineStr">
        <is>
          <t>12pw</t>
        </is>
      </c>
      <c r="F23" s="41">
        <f>A23</f>
        <v/>
      </c>
      <c r="G23" s="41" t="n"/>
      <c r="H23" s="41" t="inlineStr">
        <is>
          <t>12pw</t>
        </is>
      </c>
      <c r="I23" s="41" t="inlineStr">
        <is>
          <t>Sqft</t>
        </is>
      </c>
    </row>
    <row r="24" ht="21.25" customFormat="1" customHeight="1" s="39">
      <c r="A24" s="40" t="inlineStr">
        <is>
          <t>QuietRock 550</t>
        </is>
      </c>
      <c r="B24" s="41" t="inlineStr">
        <is>
          <t>qt530</t>
        </is>
      </c>
      <c r="C24" s="44" t="inlineStr">
        <is>
          <t>?</t>
        </is>
      </c>
      <c r="D24" s="42" t="n"/>
      <c r="E24" s="41" t="inlineStr">
        <is>
          <t>qt530</t>
        </is>
      </c>
      <c r="F24" s="41">
        <f>A24</f>
        <v/>
      </c>
      <c r="G24" s="42" t="n"/>
      <c r="H24" s="41" t="inlineStr">
        <is>
          <t>qt530</t>
        </is>
      </c>
      <c r="I24" s="41" t="inlineStr">
        <is>
          <t>Sqft</t>
        </is>
      </c>
    </row>
    <row r="25" ht="21.25" customFormat="1" customHeight="1" s="39">
      <c r="A25" s="40" t="inlineStr">
        <is>
          <t>1/2" QuietRock 510</t>
        </is>
      </c>
      <c r="B25" s="41" t="inlineStr">
        <is>
          <t>12qt</t>
        </is>
      </c>
      <c r="C25" s="44" t="inlineStr">
        <is>
          <t>?</t>
        </is>
      </c>
      <c r="D25" s="42" t="n"/>
      <c r="E25" s="41" t="inlineStr">
        <is>
          <t>12qt</t>
        </is>
      </c>
      <c r="F25" s="41">
        <f>A25</f>
        <v/>
      </c>
      <c r="G25" s="42" t="n"/>
      <c r="H25" s="41" t="inlineStr">
        <is>
          <t>12qt</t>
        </is>
      </c>
      <c r="I25" s="41" t="inlineStr">
        <is>
          <t>Sqft</t>
        </is>
      </c>
    </row>
    <row r="26" ht="21.25" customFormat="1" customHeight="1" s="39">
      <c r="A26" s="40" t="inlineStr">
        <is>
          <t>1/2" QuietRock MR 510</t>
        </is>
      </c>
      <c r="B26" s="41" t="inlineStr">
        <is>
          <t>12qtmr</t>
        </is>
      </c>
      <c r="C26" s="44" t="inlineStr">
        <is>
          <t>?</t>
        </is>
      </c>
      <c r="D26" s="42" t="n"/>
      <c r="E26" s="41" t="inlineStr">
        <is>
          <t>12qtmr</t>
        </is>
      </c>
      <c r="F26" s="41">
        <f>A26</f>
        <v/>
      </c>
      <c r="G26" s="42" t="n"/>
      <c r="H26" s="41" t="inlineStr">
        <is>
          <t>12qtmr</t>
        </is>
      </c>
      <c r="I26" s="41" t="inlineStr">
        <is>
          <t>Sqft</t>
        </is>
      </c>
    </row>
    <row r="27" ht="21.25" customFormat="1" customHeight="1" s="39">
      <c r="A27" s="40" t="inlineStr">
        <is>
          <t>5/8" QuietRock EZ Snap</t>
        </is>
      </c>
      <c r="B27" s="41" t="inlineStr">
        <is>
          <t>58qt</t>
        </is>
      </c>
      <c r="C27" s="44" t="inlineStr">
        <is>
          <t>?</t>
        </is>
      </c>
      <c r="D27" s="42" t="n"/>
      <c r="E27" s="41" t="inlineStr">
        <is>
          <t>58qt</t>
        </is>
      </c>
      <c r="F27" s="41">
        <f>A27</f>
        <v/>
      </c>
      <c r="G27" s="42" t="n"/>
      <c r="H27" s="41" t="inlineStr">
        <is>
          <t>58qt</t>
        </is>
      </c>
      <c r="I27" s="41" t="inlineStr">
        <is>
          <t>Sqft</t>
        </is>
      </c>
    </row>
    <row r="28" ht="21.25" customFormat="1" customHeight="1" s="39">
      <c r="A28" s="40" t="inlineStr">
        <is>
          <t>5/8" QuietRock MR EZ Snap</t>
        </is>
      </c>
      <c r="B28" s="41" t="inlineStr">
        <is>
          <t>58qtmr</t>
        </is>
      </c>
      <c r="C28" s="44" t="inlineStr">
        <is>
          <t>?</t>
        </is>
      </c>
      <c r="D28" s="42" t="n"/>
      <c r="E28" s="41" t="inlineStr">
        <is>
          <t>58qtmr</t>
        </is>
      </c>
      <c r="F28" s="41">
        <f>A28</f>
        <v/>
      </c>
      <c r="G28" s="42" t="n"/>
      <c r="H28" s="41" t="inlineStr">
        <is>
          <t>58qtmr</t>
        </is>
      </c>
      <c r="I28" s="41" t="inlineStr">
        <is>
          <t>Sqft</t>
        </is>
      </c>
    </row>
    <row r="29" ht="21.25" customFormat="1" customHeight="1" s="39">
      <c r="A29" s="40" t="inlineStr">
        <is>
          <t>1/2" Abuse Resistant</t>
        </is>
      </c>
      <c r="B29" s="41" t="inlineStr">
        <is>
          <t>12ar</t>
        </is>
      </c>
      <c r="C29" s="44" t="inlineStr">
        <is>
          <t>?</t>
        </is>
      </c>
      <c r="D29" s="42" t="n"/>
      <c r="E29" s="41" t="inlineStr">
        <is>
          <t>12ar</t>
        </is>
      </c>
      <c r="F29" s="41">
        <f>A29</f>
        <v/>
      </c>
      <c r="G29" s="42" t="n"/>
      <c r="H29" s="41" t="inlineStr">
        <is>
          <t>12ar</t>
        </is>
      </c>
      <c r="I29" s="41" t="inlineStr">
        <is>
          <t>Sqft</t>
        </is>
      </c>
    </row>
    <row r="30" ht="21.25" customFormat="1" customHeight="1" s="39">
      <c r="A30" s="40" t="inlineStr">
        <is>
          <t>5/8" Abuse Resistant - Type X</t>
        </is>
      </c>
      <c r="B30" s="41" t="inlineStr">
        <is>
          <t>58ar</t>
        </is>
      </c>
      <c r="C30" s="44" t="inlineStr">
        <is>
          <t>?</t>
        </is>
      </c>
      <c r="D30" s="42" t="n"/>
      <c r="E30" s="41" t="inlineStr">
        <is>
          <t>58ar</t>
        </is>
      </c>
      <c r="F30" s="41">
        <f>A30</f>
        <v/>
      </c>
      <c r="G30" s="42" t="n"/>
      <c r="H30" s="41" t="inlineStr">
        <is>
          <t>58ar</t>
        </is>
      </c>
      <c r="I30" s="41" t="inlineStr">
        <is>
          <t>Sqft</t>
        </is>
      </c>
    </row>
    <row r="31" ht="21.25" customFormat="1" customHeight="1" s="39">
      <c r="A31" s="40" t="n"/>
      <c r="B31" s="41" t="n"/>
      <c r="C31" s="44" t="n"/>
      <c r="D31" s="42" t="n"/>
      <c r="E31" s="41" t="n"/>
      <c r="F31" s="41">
        <f>A31</f>
        <v/>
      </c>
      <c r="G31" s="42" t="n"/>
      <c r="H31" s="41" t="n"/>
      <c r="I31" s="41" t="inlineStr">
        <is>
          <t>Sqft</t>
        </is>
      </c>
    </row>
    <row r="32" ht="21.75" customFormat="1" customHeight="1" s="39">
      <c r="A32" s="40" t="inlineStr">
        <is>
          <t xml:space="preserve">R8 Insulation </t>
        </is>
      </c>
      <c r="B32" s="41" t="inlineStr">
        <is>
          <t>r8</t>
        </is>
      </c>
      <c r="C32" s="44" t="n">
        <v>0.275</v>
      </c>
      <c r="D32" s="42" t="n"/>
      <c r="E32" s="41" t="inlineStr">
        <is>
          <t>r8</t>
        </is>
      </c>
      <c r="F32" s="41">
        <f>A32</f>
        <v/>
      </c>
      <c r="G32" s="42" t="n"/>
      <c r="H32" s="41" t="inlineStr">
        <is>
          <t>r8</t>
        </is>
      </c>
      <c r="I32" s="41" t="inlineStr">
        <is>
          <t>Sqft</t>
        </is>
      </c>
    </row>
    <row r="33" ht="21.25" customFormat="1" customHeight="1" s="39">
      <c r="A33" s="40" t="inlineStr">
        <is>
          <t xml:space="preserve">R12 Insulation </t>
        </is>
      </c>
      <c r="B33" s="41" t="inlineStr">
        <is>
          <t>r12</t>
        </is>
      </c>
      <c r="C33" s="44" t="n">
        <v>0.44</v>
      </c>
      <c r="D33" s="42" t="n"/>
      <c r="E33" s="41" t="inlineStr">
        <is>
          <t>r12</t>
        </is>
      </c>
      <c r="F33" s="41">
        <f>A33</f>
        <v/>
      </c>
      <c r="G33" s="42" t="n"/>
      <c r="H33" s="41" t="inlineStr">
        <is>
          <t>r12</t>
        </is>
      </c>
      <c r="I33" s="41" t="inlineStr">
        <is>
          <t>Sqft</t>
        </is>
      </c>
    </row>
    <row r="34" ht="21.25" customFormat="1" customHeight="1" s="39">
      <c r="A34" s="40" t="inlineStr">
        <is>
          <t xml:space="preserve">R20 Insulation </t>
        </is>
      </c>
      <c r="B34" s="41" t="inlineStr">
        <is>
          <t>r20</t>
        </is>
      </c>
      <c r="C34" s="44" t="n">
        <v>0.66</v>
      </c>
      <c r="D34" s="42" t="n"/>
      <c r="E34" s="41" t="inlineStr">
        <is>
          <t>r20</t>
        </is>
      </c>
      <c r="F34" s="41">
        <f>A34</f>
        <v/>
      </c>
      <c r="G34" s="42" t="n"/>
      <c r="H34" s="41" t="inlineStr">
        <is>
          <t>r20</t>
        </is>
      </c>
      <c r="I34" s="41" t="inlineStr">
        <is>
          <t>Sqft</t>
        </is>
      </c>
    </row>
    <row r="35" ht="21.25" customFormat="1" customHeight="1" s="39">
      <c r="A35" s="40" t="inlineStr">
        <is>
          <t>R12 QUIET ZONE</t>
        </is>
      </c>
      <c r="B35" s="41" t="inlineStr">
        <is>
          <t>R12QZ</t>
        </is>
      </c>
      <c r="C35" s="44" t="n">
        <v>0.44</v>
      </c>
      <c r="D35" s="42" t="n"/>
      <c r="E35" s="41" t="inlineStr">
        <is>
          <t>R12QZ</t>
        </is>
      </c>
      <c r="F35" s="41">
        <f>A35</f>
        <v/>
      </c>
      <c r="G35" s="42" t="n"/>
      <c r="H35" s="41" t="inlineStr">
        <is>
          <t>R12QZ</t>
        </is>
      </c>
      <c r="I35" s="41" t="inlineStr">
        <is>
          <t>Sqft</t>
        </is>
      </c>
    </row>
    <row r="36" ht="21.25" customFormat="1" customHeight="1" s="39">
      <c r="A36" s="40" t="inlineStr">
        <is>
          <t>R20 QUIET ZONE</t>
        </is>
      </c>
      <c r="B36" s="41" t="inlineStr">
        <is>
          <t>R20QZ</t>
        </is>
      </c>
      <c r="C36" s="44" t="n">
        <v>0.66</v>
      </c>
      <c r="D36" s="42" t="n"/>
      <c r="E36" s="41" t="inlineStr">
        <is>
          <t>R20QZ</t>
        </is>
      </c>
      <c r="F36" s="41">
        <f>A36</f>
        <v/>
      </c>
      <c r="G36" s="42" t="n"/>
      <c r="H36" s="41" t="inlineStr">
        <is>
          <t>R20QZ</t>
        </is>
      </c>
      <c r="I36" s="41" t="inlineStr">
        <is>
          <t>Sqft</t>
        </is>
      </c>
    </row>
    <row r="37" ht="21.25" customFormat="1" customHeight="1" s="39">
      <c r="A37" s="40" t="inlineStr">
        <is>
          <t xml:space="preserve">R28 Insulation </t>
        </is>
      </c>
      <c r="B37" s="41" t="inlineStr">
        <is>
          <t>r28</t>
        </is>
      </c>
      <c r="C37" s="44" t="n">
        <v>0.915</v>
      </c>
      <c r="D37" s="42" t="n"/>
      <c r="E37" s="41" t="inlineStr">
        <is>
          <t>r28</t>
        </is>
      </c>
      <c r="F37" s="41">
        <f>A37</f>
        <v/>
      </c>
      <c r="G37" s="42" t="n"/>
      <c r="H37" s="41" t="inlineStr">
        <is>
          <t>r28</t>
        </is>
      </c>
      <c r="I37" s="41" t="inlineStr">
        <is>
          <t>Sqft</t>
        </is>
      </c>
    </row>
    <row r="38" ht="21.25" customFormat="1" customHeight="1" s="39">
      <c r="A38" s="40" t="inlineStr">
        <is>
          <t xml:space="preserve">R35 Insulation </t>
        </is>
      </c>
      <c r="B38" s="41" t="inlineStr">
        <is>
          <t>r35</t>
        </is>
      </c>
      <c r="C38" s="44" t="inlineStr">
        <is>
          <t>?</t>
        </is>
      </c>
      <c r="D38" s="42" t="n"/>
      <c r="E38" s="41" t="inlineStr">
        <is>
          <t>r35</t>
        </is>
      </c>
      <c r="F38" s="41">
        <f>A38</f>
        <v/>
      </c>
      <c r="G38" s="42" t="n"/>
      <c r="H38" s="41" t="inlineStr">
        <is>
          <t>r35</t>
        </is>
      </c>
      <c r="I38" s="41" t="inlineStr">
        <is>
          <t>Sqft</t>
        </is>
      </c>
    </row>
    <row r="39" ht="21.25" customFormat="1" customHeight="1" s="39">
      <c r="A39" s="40" t="inlineStr">
        <is>
          <t xml:space="preserve">R40 Insulation </t>
        </is>
      </c>
      <c r="B39" s="41" t="inlineStr">
        <is>
          <t>r40</t>
        </is>
      </c>
      <c r="C39" s="44" t="n">
        <v>2.095</v>
      </c>
      <c r="D39" s="42" t="n"/>
      <c r="E39" s="41" t="inlineStr">
        <is>
          <t>r40</t>
        </is>
      </c>
      <c r="F39" s="41">
        <f>A39</f>
        <v/>
      </c>
      <c r="G39" s="42" t="n"/>
      <c r="H39" s="41" t="inlineStr">
        <is>
          <t>r40</t>
        </is>
      </c>
      <c r="I39" s="41" t="inlineStr">
        <is>
          <t>Sqft</t>
        </is>
      </c>
    </row>
    <row r="40" ht="21.25" customFormat="1" customHeight="1" s="39">
      <c r="A40" s="40" t="inlineStr">
        <is>
          <t>Roxul Comfort Batt R10</t>
        </is>
      </c>
      <c r="B40" s="41" t="inlineStr">
        <is>
          <t>R10</t>
        </is>
      </c>
      <c r="C40" s="44" t="inlineStr">
        <is>
          <t>?</t>
        </is>
      </c>
      <c r="D40" s="42" t="n"/>
      <c r="E40" s="41" t="inlineStr">
        <is>
          <t>R10</t>
        </is>
      </c>
      <c r="F40" s="41">
        <f>A40</f>
        <v/>
      </c>
      <c r="G40" s="42" t="n"/>
      <c r="H40" s="41" t="inlineStr">
        <is>
          <t>R10</t>
        </is>
      </c>
      <c r="I40" s="41" t="inlineStr">
        <is>
          <t>Sqft</t>
        </is>
      </c>
    </row>
    <row r="41" ht="21.25" customFormat="1" customHeight="1" s="39">
      <c r="A41" s="40" t="inlineStr">
        <is>
          <t>Roxul Comfort Batt R14</t>
        </is>
      </c>
      <c r="B41" s="41" t="inlineStr">
        <is>
          <t>R14</t>
        </is>
      </c>
      <c r="C41" s="44" t="inlineStr">
        <is>
          <t>?</t>
        </is>
      </c>
      <c r="D41" s="42" t="n"/>
      <c r="E41" s="41" t="inlineStr">
        <is>
          <t>R14</t>
        </is>
      </c>
      <c r="F41" s="41">
        <f>A41</f>
        <v/>
      </c>
      <c r="G41" s="42" t="n"/>
      <c r="H41" s="41" t="inlineStr">
        <is>
          <t>R14</t>
        </is>
      </c>
      <c r="I41" s="41" t="inlineStr">
        <is>
          <t>Sqft</t>
        </is>
      </c>
    </row>
    <row r="42" ht="21.25" customFormat="1" customHeight="1" s="39">
      <c r="A42" s="40" t="inlineStr">
        <is>
          <t>Roxul Comfort Batt R22</t>
        </is>
      </c>
      <c r="B42" s="41" t="inlineStr">
        <is>
          <t>R22</t>
        </is>
      </c>
      <c r="C42" s="44" t="inlineStr">
        <is>
          <t>?</t>
        </is>
      </c>
      <c r="D42" s="42" t="n"/>
      <c r="E42" s="41" t="inlineStr">
        <is>
          <t>R22</t>
        </is>
      </c>
      <c r="F42" s="41">
        <f>A42</f>
        <v/>
      </c>
      <c r="G42" s="42" t="n"/>
      <c r="H42" s="41" t="inlineStr">
        <is>
          <t>R22</t>
        </is>
      </c>
      <c r="I42" s="41" t="inlineStr">
        <is>
          <t>Sqft</t>
        </is>
      </c>
    </row>
    <row r="43" ht="21.25" customFormat="1" customHeight="1" s="39">
      <c r="A43" s="40" t="inlineStr">
        <is>
          <t>Roxul AFB 2 1/2"</t>
        </is>
      </c>
      <c r="B43" s="41" t="inlineStr">
        <is>
          <t>AFB25</t>
        </is>
      </c>
      <c r="C43" s="44" t="inlineStr">
        <is>
          <t>?</t>
        </is>
      </c>
      <c r="D43" s="42" t="n"/>
      <c r="E43" s="41" t="inlineStr">
        <is>
          <t>AFB25</t>
        </is>
      </c>
      <c r="F43" s="41">
        <f>A43</f>
        <v/>
      </c>
      <c r="G43" s="42" t="n"/>
      <c r="H43" s="41" t="inlineStr">
        <is>
          <t>AFB25</t>
        </is>
      </c>
      <c r="I43" s="41" t="inlineStr">
        <is>
          <t>Sqft</t>
        </is>
      </c>
    </row>
    <row r="44" ht="21.25" customFormat="1" customHeight="1" s="39">
      <c r="A44" s="40" t="inlineStr">
        <is>
          <t>Roxul AF 3 5/8"</t>
        </is>
      </c>
      <c r="B44" s="41" t="inlineStr">
        <is>
          <t>AFB35</t>
        </is>
      </c>
      <c r="C44" s="44" t="inlineStr">
        <is>
          <t>?</t>
        </is>
      </c>
      <c r="D44" s="42" t="n"/>
      <c r="E44" s="41" t="inlineStr">
        <is>
          <t>AFB35</t>
        </is>
      </c>
      <c r="F44" s="41">
        <f>A44</f>
        <v/>
      </c>
      <c r="G44" s="42" t="n"/>
      <c r="H44" s="41" t="inlineStr">
        <is>
          <t>AFB35</t>
        </is>
      </c>
      <c r="I44" s="41" t="inlineStr">
        <is>
          <t>Sqft</t>
        </is>
      </c>
    </row>
    <row r="45" ht="21.25" customFormat="1" customHeight="1" s="39">
      <c r="A45" s="40" t="inlineStr">
        <is>
          <t>Roxul AFB 6"</t>
        </is>
      </c>
      <c r="B45" s="41" t="inlineStr">
        <is>
          <t>AFB6</t>
        </is>
      </c>
      <c r="C45" s="44" t="inlineStr">
        <is>
          <t>?</t>
        </is>
      </c>
      <c r="D45" s="42" t="n"/>
      <c r="E45" s="41" t="inlineStr">
        <is>
          <t>AFB6</t>
        </is>
      </c>
      <c r="F45" s="41">
        <f>A45</f>
        <v/>
      </c>
      <c r="G45" s="42" t="n"/>
      <c r="H45" s="41" t="inlineStr">
        <is>
          <t>AFB6</t>
        </is>
      </c>
      <c r="I45" s="41" t="inlineStr">
        <is>
          <t>Sqft</t>
        </is>
      </c>
    </row>
    <row r="46" ht="21.25" customFormat="1" customHeight="1" s="39">
      <c r="A46" s="40" t="n"/>
      <c r="B46" s="41" t="n"/>
      <c r="C46" s="44" t="n"/>
      <c r="D46" s="42" t="n"/>
      <c r="E46" s="41" t="n"/>
      <c r="F46" s="41">
        <f>A46</f>
        <v/>
      </c>
      <c r="G46" s="42" t="n"/>
      <c r="H46" s="41" t="n"/>
      <c r="I46" s="41" t="inlineStr">
        <is>
          <t>Sqft</t>
        </is>
      </c>
    </row>
    <row r="47" ht="21.25" customFormat="1" customHeight="1" s="39">
      <c r="A47" s="40" t="inlineStr">
        <is>
          <t>6 Mil Poly</t>
        </is>
      </c>
      <c r="B47" s="41" t="inlineStr">
        <is>
          <t>6mil</t>
        </is>
      </c>
      <c r="C47" s="42" t="n">
        <v>0.07000000000000001</v>
      </c>
      <c r="D47" s="42" t="n"/>
      <c r="E47" s="41" t="inlineStr">
        <is>
          <t>6mil</t>
        </is>
      </c>
      <c r="F47" s="41">
        <f>A47</f>
        <v/>
      </c>
      <c r="G47" s="42" t="n"/>
      <c r="H47" s="41" t="inlineStr">
        <is>
          <t>6mil</t>
        </is>
      </c>
      <c r="I47" s="41" t="inlineStr">
        <is>
          <t>Sqft</t>
        </is>
      </c>
    </row>
    <row r="48" ht="21.25" customFormat="1" customHeight="1" s="39">
      <c r="A48" s="40" t="inlineStr">
        <is>
          <t>Light Weight Poly</t>
        </is>
      </c>
      <c r="B48" s="41" t="inlineStr">
        <is>
          <t>lwp</t>
        </is>
      </c>
      <c r="C48" s="42" t="n">
        <v>15.74</v>
      </c>
      <c r="D48" s="42" t="n"/>
      <c r="E48" s="41" t="inlineStr">
        <is>
          <t>lwp</t>
        </is>
      </c>
      <c r="F48" s="41">
        <f>A48</f>
        <v/>
      </c>
      <c r="G48" s="42" t="n"/>
      <c r="H48" s="41" t="inlineStr">
        <is>
          <t>lwp</t>
        </is>
      </c>
      <c r="I48" s="41" t="inlineStr">
        <is>
          <t>Sqft</t>
        </is>
      </c>
    </row>
    <row r="49" ht="21.25" customFormat="1" customHeight="1" s="39">
      <c r="A49" s="40" t="inlineStr">
        <is>
          <t>1 1/2” TYPE 4 RIGID</t>
        </is>
      </c>
      <c r="B49" s="41" t="inlineStr">
        <is>
          <t>15T4R</t>
        </is>
      </c>
      <c r="C49" s="42" t="n">
        <v>1.22115</v>
      </c>
      <c r="D49" s="42" t="n"/>
      <c r="E49" s="41" t="inlineStr">
        <is>
          <t>15T4R</t>
        </is>
      </c>
      <c r="F49" s="41">
        <f>A49</f>
        <v/>
      </c>
      <c r="G49" s="42" t="n"/>
      <c r="H49" s="41" t="inlineStr">
        <is>
          <t>15T4R</t>
        </is>
      </c>
      <c r="I49" s="41" t="inlineStr">
        <is>
          <t>Sqft</t>
        </is>
      </c>
    </row>
    <row r="50" ht="21.25" customFormat="1" customHeight="1" s="39">
      <c r="A50" s="40" t="inlineStr">
        <is>
          <t>2" Foil Back Insulation</t>
        </is>
      </c>
      <c r="B50" s="41" t="inlineStr">
        <is>
          <t>2fb</t>
        </is>
      </c>
      <c r="C50" s="42" t="n">
        <v>3.8594</v>
      </c>
      <c r="D50" s="42" t="n"/>
      <c r="E50" s="41" t="inlineStr">
        <is>
          <t>2fb</t>
        </is>
      </c>
      <c r="F50" s="41">
        <f>A50</f>
        <v/>
      </c>
      <c r="G50" s="42" t="n"/>
      <c r="H50" s="41" t="inlineStr">
        <is>
          <t>2fb</t>
        </is>
      </c>
      <c r="I50" s="41" t="inlineStr">
        <is>
          <t>Sqft</t>
        </is>
      </c>
    </row>
    <row r="51" ht="21.25" customFormat="1" customHeight="1" s="39">
      <c r="A51" s="40" t="n"/>
      <c r="B51" s="41" t="n"/>
      <c r="C51" s="44" t="n"/>
      <c r="D51" s="42" t="n"/>
      <c r="E51" s="41" t="n"/>
      <c r="F51" s="41">
        <f>A51</f>
        <v/>
      </c>
      <c r="G51" s="42" t="n"/>
      <c r="H51" s="41" t="n"/>
      <c r="I51" s="41" t="n"/>
    </row>
    <row r="52" ht="21.25" customFormat="1" customHeight="1" s="39">
      <c r="A52" s="40" t="inlineStr">
        <is>
          <t>25 Ga 1 5/8” Stud</t>
        </is>
      </c>
      <c r="B52" s="41" t="inlineStr">
        <is>
          <t>251s</t>
        </is>
      </c>
      <c r="C52" s="44" t="n">
        <v>0.525</v>
      </c>
      <c r="D52" s="42" t="n"/>
      <c r="E52" s="41" t="inlineStr">
        <is>
          <t>251s</t>
        </is>
      </c>
      <c r="F52" s="41">
        <f>A52</f>
        <v/>
      </c>
      <c r="G52" s="42" t="n"/>
      <c r="H52" s="41" t="inlineStr">
        <is>
          <t>251s</t>
        </is>
      </c>
      <c r="I52" s="41" t="inlineStr">
        <is>
          <t>Lnft</t>
        </is>
      </c>
    </row>
    <row r="53" ht="21.25" customFormat="1" customHeight="1" s="39">
      <c r="A53" s="40" t="inlineStr">
        <is>
          <t>25 Ga 1 5/8” Track</t>
        </is>
      </c>
      <c r="B53" s="41" t="inlineStr">
        <is>
          <t>251t</t>
        </is>
      </c>
      <c r="C53" s="44" t="n">
        <v>0.465</v>
      </c>
      <c r="D53" s="42" t="n"/>
      <c r="E53" s="41" t="inlineStr">
        <is>
          <t>251t</t>
        </is>
      </c>
      <c r="F53" s="41">
        <f>A53</f>
        <v/>
      </c>
      <c r="G53" s="42" t="n"/>
      <c r="H53" s="41" t="inlineStr">
        <is>
          <t>251t</t>
        </is>
      </c>
      <c r="I53" s="41" t="inlineStr">
        <is>
          <t>Lnft</t>
        </is>
      </c>
    </row>
    <row r="54" ht="21.25" customFormat="1" customHeight="1" s="39">
      <c r="A54" s="40" t="inlineStr">
        <is>
          <t>25 Ga 1 5/8” Deep Tack</t>
        </is>
      </c>
      <c r="B54" s="41" t="inlineStr">
        <is>
          <t>251dt</t>
        </is>
      </c>
      <c r="C54" s="44" t="n">
        <v>0.675</v>
      </c>
      <c r="D54" s="42" t="n"/>
      <c r="E54" s="41" t="inlineStr">
        <is>
          <t>251dt</t>
        </is>
      </c>
      <c r="F54" s="41">
        <f>A54</f>
        <v/>
      </c>
      <c r="G54" s="42" t="n"/>
      <c r="H54" s="41" t="inlineStr">
        <is>
          <t>251dt</t>
        </is>
      </c>
      <c r="I54" s="41" t="inlineStr">
        <is>
          <t>Lnft</t>
        </is>
      </c>
    </row>
    <row r="55" ht="21.25" customFormat="1" customHeight="1" s="39">
      <c r="A55" s="40" t="inlineStr">
        <is>
          <t>25 Ga 2 1/2” Stud</t>
        </is>
      </c>
      <c r="B55" s="41" t="inlineStr">
        <is>
          <t>252s</t>
        </is>
      </c>
      <c r="C55" s="44" t="n">
        <v>0.6</v>
      </c>
      <c r="D55" s="42" t="n"/>
      <c r="E55" s="41" t="inlineStr">
        <is>
          <t>252s</t>
        </is>
      </c>
      <c r="F55" s="41">
        <f>A55</f>
        <v/>
      </c>
      <c r="G55" s="42" t="n"/>
      <c r="H55" s="41" t="inlineStr">
        <is>
          <t>252s</t>
        </is>
      </c>
      <c r="I55" s="41" t="inlineStr">
        <is>
          <t>Lnft</t>
        </is>
      </c>
    </row>
    <row r="56" ht="21.25" customFormat="1" customHeight="1" s="39">
      <c r="A56" s="40" t="inlineStr">
        <is>
          <t>25 Ga 2 1/2” Track</t>
        </is>
      </c>
      <c r="B56" s="41" t="inlineStr">
        <is>
          <t>252t</t>
        </is>
      </c>
      <c r="C56" s="44" t="n">
        <v>0.535</v>
      </c>
      <c r="D56" s="42" t="n"/>
      <c r="E56" s="41" t="inlineStr">
        <is>
          <t>252t</t>
        </is>
      </c>
      <c r="F56" s="41">
        <f>A56</f>
        <v/>
      </c>
      <c r="G56" s="42" t="n"/>
      <c r="H56" s="41" t="inlineStr">
        <is>
          <t>252t</t>
        </is>
      </c>
      <c r="I56" s="41" t="inlineStr">
        <is>
          <t>Lnft</t>
        </is>
      </c>
    </row>
    <row r="57" ht="21.25" customFormat="1" customHeight="1" s="39">
      <c r="A57" s="40" t="inlineStr">
        <is>
          <t>25 Ga 2 1/2” Deep Track</t>
        </is>
      </c>
      <c r="B57" s="41" t="inlineStr">
        <is>
          <t>252dt</t>
        </is>
      </c>
      <c r="C57" s="44" t="n">
        <v>0.745</v>
      </c>
      <c r="D57" s="42" t="n"/>
      <c r="E57" s="41" t="inlineStr">
        <is>
          <t>252dt</t>
        </is>
      </c>
      <c r="F57" s="41">
        <f>A57</f>
        <v/>
      </c>
      <c r="G57" s="42" t="n"/>
      <c r="H57" s="41" t="inlineStr">
        <is>
          <t>252dt</t>
        </is>
      </c>
      <c r="I57" s="41" t="inlineStr">
        <is>
          <t>Lnft</t>
        </is>
      </c>
    </row>
    <row r="58" ht="21.25" customFormat="1" customHeight="1" s="39">
      <c r="A58" s="40" t="inlineStr">
        <is>
          <t>25 Ga 2 1/2" Slotted Track</t>
        </is>
      </c>
      <c r="B58" s="41" t="inlineStr">
        <is>
          <t>252st</t>
        </is>
      </c>
      <c r="C58" s="44" t="n">
        <v>1.175</v>
      </c>
      <c r="D58" s="42" t="n"/>
      <c r="E58" s="41" t="inlineStr">
        <is>
          <t>252st</t>
        </is>
      </c>
      <c r="F58" s="41">
        <f>A58</f>
        <v/>
      </c>
      <c r="G58" s="42" t="n"/>
      <c r="H58" s="41" t="inlineStr">
        <is>
          <t>252st</t>
        </is>
      </c>
      <c r="I58" s="41" t="inlineStr">
        <is>
          <t>Lnft</t>
        </is>
      </c>
    </row>
    <row r="59" ht="21.25" customFormat="1" customHeight="1" s="39">
      <c r="A59" s="40" t="inlineStr">
        <is>
          <t>25 Ga 3 5/8” Stud</t>
        </is>
      </c>
      <c r="B59" s="41" t="inlineStr">
        <is>
          <t>253s</t>
        </is>
      </c>
      <c r="C59" s="44" t="n">
        <v>0.675</v>
      </c>
      <c r="D59" s="42" t="n"/>
      <c r="E59" s="41" t="inlineStr">
        <is>
          <t>253s</t>
        </is>
      </c>
      <c r="F59" s="41">
        <f>A59</f>
        <v/>
      </c>
      <c r="G59" s="42" t="n"/>
      <c r="H59" s="41" t="inlineStr">
        <is>
          <t>253s</t>
        </is>
      </c>
      <c r="I59" s="41" t="inlineStr">
        <is>
          <t>Lnft</t>
        </is>
      </c>
    </row>
    <row r="60" ht="21.25" customFormat="1" customHeight="1" s="39">
      <c r="A60" s="40" t="inlineStr">
        <is>
          <t>25 Ga 3 5/8” Track</t>
        </is>
      </c>
      <c r="B60" s="41" t="inlineStr">
        <is>
          <t>253t</t>
        </is>
      </c>
      <c r="C60" s="44" t="n">
        <v>0.63</v>
      </c>
      <c r="D60" s="42" t="n"/>
      <c r="E60" s="41" t="inlineStr">
        <is>
          <t>253t</t>
        </is>
      </c>
      <c r="F60" s="41">
        <f>A60</f>
        <v/>
      </c>
      <c r="G60" s="42" t="n"/>
      <c r="H60" s="41" t="inlineStr">
        <is>
          <t>253t</t>
        </is>
      </c>
      <c r="I60" s="41" t="inlineStr">
        <is>
          <t>Lnft</t>
        </is>
      </c>
    </row>
    <row r="61" ht="21.25" customFormat="1" customHeight="1" s="39">
      <c r="A61" s="40" t="inlineStr">
        <is>
          <t>25 Ga 3 5/8” Deep Track</t>
        </is>
      </c>
      <c r="B61" s="41" t="inlineStr">
        <is>
          <t>253dt</t>
        </is>
      </c>
      <c r="C61" s="44" t="n">
        <v>0.85</v>
      </c>
      <c r="D61" s="42" t="n"/>
      <c r="E61" s="41" t="inlineStr">
        <is>
          <t>253dt</t>
        </is>
      </c>
      <c r="F61" s="41">
        <f>A61</f>
        <v/>
      </c>
      <c r="G61" s="42" t="n"/>
      <c r="H61" s="41" t="inlineStr">
        <is>
          <t>253dt</t>
        </is>
      </c>
      <c r="I61" s="41" t="inlineStr">
        <is>
          <t>Lnft</t>
        </is>
      </c>
    </row>
    <row r="62" ht="21.25" customFormat="1" customHeight="1" s="39">
      <c r="A62" s="40" t="inlineStr">
        <is>
          <t>25 Ga 3 5/8" Slotted Track</t>
        </is>
      </c>
      <c r="B62" s="41" t="inlineStr">
        <is>
          <t>253st</t>
        </is>
      </c>
      <c r="C62" s="44" t="n">
        <v>1.875</v>
      </c>
      <c r="D62" s="42" t="n"/>
      <c r="E62" s="41" t="inlineStr">
        <is>
          <t>253st</t>
        </is>
      </c>
      <c r="F62" s="41">
        <f>A62</f>
        <v/>
      </c>
      <c r="G62" s="42" t="n"/>
      <c r="H62" s="41" t="inlineStr">
        <is>
          <t>253st</t>
        </is>
      </c>
      <c r="I62" s="41" t="inlineStr">
        <is>
          <t>Lnft</t>
        </is>
      </c>
    </row>
    <row r="63" ht="21.25" customFormat="1" customHeight="1" s="39">
      <c r="A63" s="40" t="inlineStr">
        <is>
          <t>25 Ga 6" Stud</t>
        </is>
      </c>
      <c r="B63" s="41" t="inlineStr">
        <is>
          <t>256s</t>
        </is>
      </c>
      <c r="C63" s="44" t="n">
        <v>0.96</v>
      </c>
      <c r="D63" s="42" t="n"/>
      <c r="E63" s="41" t="inlineStr">
        <is>
          <t>256s</t>
        </is>
      </c>
      <c r="F63" s="41">
        <f>A63</f>
        <v/>
      </c>
      <c r="G63" s="42" t="n"/>
      <c r="H63" s="41" t="inlineStr">
        <is>
          <t>256s</t>
        </is>
      </c>
      <c r="I63" s="41" t="inlineStr">
        <is>
          <t>Lnft</t>
        </is>
      </c>
    </row>
    <row r="64" ht="21.25" customFormat="1" customHeight="1" s="39">
      <c r="A64" s="40" t="inlineStr">
        <is>
          <t>25 Ga 6” Track</t>
        </is>
      </c>
      <c r="B64" s="41" t="inlineStr">
        <is>
          <t>256t</t>
        </is>
      </c>
      <c r="C64" s="44" t="n">
        <v>0.875</v>
      </c>
      <c r="D64" s="42" t="n"/>
      <c r="E64" s="41" t="inlineStr">
        <is>
          <t>256t</t>
        </is>
      </c>
      <c r="F64" s="41">
        <f>A64</f>
        <v/>
      </c>
      <c r="G64" s="42" t="n"/>
      <c r="H64" s="41" t="inlineStr">
        <is>
          <t>256t</t>
        </is>
      </c>
      <c r="I64" s="41" t="inlineStr">
        <is>
          <t>Lnft</t>
        </is>
      </c>
    </row>
    <row r="65" ht="21.25" customFormat="1" customHeight="1" s="39">
      <c r="A65" s="40" t="inlineStr">
        <is>
          <t>25 Ga 6” Deep Track</t>
        </is>
      </c>
      <c r="B65" s="41" t="inlineStr">
        <is>
          <t>256dt</t>
        </is>
      </c>
      <c r="C65" s="44" t="n">
        <v>1.06</v>
      </c>
      <c r="D65" s="42" t="n"/>
      <c r="E65" s="41" t="inlineStr">
        <is>
          <t>256dt</t>
        </is>
      </c>
      <c r="F65" s="41">
        <f>A65</f>
        <v/>
      </c>
      <c r="G65" s="42" t="n"/>
      <c r="H65" s="41" t="inlineStr">
        <is>
          <t>256dt</t>
        </is>
      </c>
      <c r="I65" s="41" t="inlineStr">
        <is>
          <t>Lnft</t>
        </is>
      </c>
    </row>
    <row r="66" ht="21.25" customFormat="1" customHeight="1" s="39">
      <c r="A66" s="40" t="inlineStr">
        <is>
          <t>25 Ga 6” Slotted Track</t>
        </is>
      </c>
      <c r="B66" s="41" t="inlineStr">
        <is>
          <t>256st</t>
        </is>
      </c>
      <c r="C66" s="44" t="n">
        <v>2.05</v>
      </c>
      <c r="D66" s="42" t="n"/>
      <c r="E66" s="41" t="inlineStr">
        <is>
          <t>256st</t>
        </is>
      </c>
      <c r="F66" s="41">
        <f>A66</f>
        <v/>
      </c>
      <c r="G66" s="42" t="n"/>
      <c r="H66" s="41" t="inlineStr">
        <is>
          <t>256st</t>
        </is>
      </c>
      <c r="I66" s="41" t="inlineStr">
        <is>
          <t>Lnft</t>
        </is>
      </c>
    </row>
    <row r="67" ht="21.25" customFormat="1" customHeight="1" s="39">
      <c r="A67" s="40" t="inlineStr">
        <is>
          <t>25 Ga 8" Stud</t>
        </is>
      </c>
      <c r="B67" s="41" t="inlineStr">
        <is>
          <t>258s</t>
        </is>
      </c>
      <c r="C67" s="44" t="inlineStr">
        <is>
          <t>?</t>
        </is>
      </c>
      <c r="D67" s="42" t="n"/>
      <c r="E67" s="41" t="inlineStr">
        <is>
          <t>258s</t>
        </is>
      </c>
      <c r="F67" s="41">
        <f>A67</f>
        <v/>
      </c>
      <c r="G67" s="42" t="n"/>
      <c r="H67" s="41" t="inlineStr">
        <is>
          <t>258s</t>
        </is>
      </c>
      <c r="I67" s="41" t="inlineStr">
        <is>
          <t>Lnft</t>
        </is>
      </c>
    </row>
    <row r="68" ht="21.25" customFormat="1" customHeight="1" s="39">
      <c r="A68" s="40" t="inlineStr">
        <is>
          <t>25 Ga 8" Track</t>
        </is>
      </c>
      <c r="B68" s="41" t="inlineStr">
        <is>
          <t>258t</t>
        </is>
      </c>
      <c r="C68" s="44" t="inlineStr">
        <is>
          <t>?</t>
        </is>
      </c>
      <c r="D68" s="42" t="n"/>
      <c r="E68" s="41" t="inlineStr">
        <is>
          <t>258t</t>
        </is>
      </c>
      <c r="F68" s="41">
        <f>A68</f>
        <v/>
      </c>
      <c r="G68" s="42" t="n"/>
      <c r="H68" s="41" t="inlineStr">
        <is>
          <t>258t</t>
        </is>
      </c>
      <c r="I68" s="41" t="inlineStr">
        <is>
          <t>Lnft</t>
        </is>
      </c>
    </row>
    <row r="69" ht="21.25" customFormat="1" customHeight="1" s="39">
      <c r="A69" s="40" t="inlineStr">
        <is>
          <t>25 Ga 8" Deep Track</t>
        </is>
      </c>
      <c r="B69" s="41" t="inlineStr">
        <is>
          <t>258dt</t>
        </is>
      </c>
      <c r="C69" s="44" t="inlineStr">
        <is>
          <t>?</t>
        </is>
      </c>
      <c r="D69" s="42" t="n"/>
      <c r="E69" s="41" t="inlineStr">
        <is>
          <t>258dt</t>
        </is>
      </c>
      <c r="F69" s="41">
        <f>A69</f>
        <v/>
      </c>
      <c r="G69" s="42" t="n"/>
      <c r="H69" s="41" t="inlineStr">
        <is>
          <t>258dt</t>
        </is>
      </c>
      <c r="I69" s="41" t="inlineStr">
        <is>
          <t>Lnft</t>
        </is>
      </c>
    </row>
    <row r="70" ht="21.25" customFormat="1" customHeight="1" s="39">
      <c r="A70" s="40" t="inlineStr">
        <is>
          <t>25 Ga 8" Slotted Track</t>
        </is>
      </c>
      <c r="B70" s="41" t="inlineStr">
        <is>
          <t>258st</t>
        </is>
      </c>
      <c r="C70" s="44" t="inlineStr">
        <is>
          <t>?</t>
        </is>
      </c>
      <c r="D70" s="42" t="n"/>
      <c r="E70" s="41" t="inlineStr">
        <is>
          <t>258st</t>
        </is>
      </c>
      <c r="F70" s="41">
        <f>A70</f>
        <v/>
      </c>
      <c r="G70" s="42" t="n"/>
      <c r="H70" s="41" t="inlineStr">
        <is>
          <t>258st</t>
        </is>
      </c>
      <c r="I70" s="41" t="inlineStr">
        <is>
          <t>Lnft</t>
        </is>
      </c>
    </row>
    <row r="71" ht="21.25" customFormat="1" customHeight="1" s="39">
      <c r="A71" s="40" t="n"/>
      <c r="B71" s="41" t="n"/>
      <c r="C71" s="44" t="n"/>
      <c r="D71" s="42" t="n"/>
      <c r="E71" s="41" t="n"/>
      <c r="F71" s="41">
        <f>A71</f>
        <v/>
      </c>
      <c r="G71" s="42" t="n"/>
      <c r="H71" s="41" t="n"/>
      <c r="I71" s="41" t="inlineStr">
        <is>
          <t>Lnft</t>
        </is>
      </c>
    </row>
    <row r="72" ht="21.25" customFormat="1" customHeight="1" s="39">
      <c r="A72" s="40" t="n"/>
      <c r="B72" s="41" t="n"/>
      <c r="C72" s="44" t="n"/>
      <c r="D72" s="42" t="n"/>
      <c r="E72" s="41" t="n"/>
      <c r="F72" s="41">
        <f>A72</f>
        <v/>
      </c>
      <c r="G72" s="42" t="n"/>
      <c r="H72" s="41" t="n"/>
      <c r="I72" s="41" t="inlineStr">
        <is>
          <t>Lnft</t>
        </is>
      </c>
    </row>
    <row r="73" ht="21.25" customFormat="1" customHeight="1" s="39">
      <c r="A73" s="40" t="inlineStr">
        <is>
          <t>20 Ga 1 5/8” Stud</t>
        </is>
      </c>
      <c r="B73" s="41" t="inlineStr">
        <is>
          <t>201s</t>
        </is>
      </c>
      <c r="C73" s="44" t="n">
        <v>0.97</v>
      </c>
      <c r="D73" s="42" t="n"/>
      <c r="E73" s="41" t="inlineStr">
        <is>
          <t>201s</t>
        </is>
      </c>
      <c r="F73" s="41">
        <f>A73</f>
        <v/>
      </c>
      <c r="G73" s="42" t="n"/>
      <c r="H73" s="41" t="inlineStr">
        <is>
          <t>201s</t>
        </is>
      </c>
      <c r="I73" s="41" t="inlineStr">
        <is>
          <t>Lnft</t>
        </is>
      </c>
    </row>
    <row r="74" ht="21.25" customFormat="1" customHeight="1" s="39">
      <c r="A74" s="40" t="inlineStr">
        <is>
          <t>20 Ga 1 5/8” Track</t>
        </is>
      </c>
      <c r="B74" s="41" t="inlineStr">
        <is>
          <t>201t</t>
        </is>
      </c>
      <c r="C74" s="44" t="n">
        <v>0.85</v>
      </c>
      <c r="D74" s="42" t="n"/>
      <c r="E74" s="41" t="inlineStr">
        <is>
          <t>201t</t>
        </is>
      </c>
      <c r="F74" s="41">
        <f>A74</f>
        <v/>
      </c>
      <c r="G74" s="42" t="n"/>
      <c r="H74" s="41" t="inlineStr">
        <is>
          <t>201t</t>
        </is>
      </c>
      <c r="I74" s="41" t="inlineStr">
        <is>
          <t>Lnft</t>
        </is>
      </c>
    </row>
    <row r="75" ht="21.25" customFormat="1" customHeight="1" s="39">
      <c r="A75" s="40" t="inlineStr">
        <is>
          <t>20 Ga 1 5/8” Deep Tack</t>
        </is>
      </c>
      <c r="B75" s="41" t="inlineStr">
        <is>
          <t>201dt</t>
        </is>
      </c>
      <c r="C75" s="44" t="n">
        <v>1.05</v>
      </c>
      <c r="D75" s="42" t="n"/>
      <c r="E75" s="41" t="inlineStr">
        <is>
          <t>201dt</t>
        </is>
      </c>
      <c r="F75" s="41">
        <f>A75</f>
        <v/>
      </c>
      <c r="G75" s="42" t="n"/>
      <c r="H75" s="41" t="inlineStr">
        <is>
          <t>201dt</t>
        </is>
      </c>
      <c r="I75" s="41" t="inlineStr">
        <is>
          <t>Lnft</t>
        </is>
      </c>
    </row>
    <row r="76" ht="21.25" customFormat="1" customHeight="1" s="39">
      <c r="A76" s="40" t="inlineStr">
        <is>
          <t xml:space="preserve">20 Ga 2 1/2” Stud </t>
        </is>
      </c>
      <c r="B76" s="41" t="inlineStr">
        <is>
          <t>202s</t>
        </is>
      </c>
      <c r="C76" s="44" t="n">
        <v>1.05</v>
      </c>
      <c r="D76" s="42" t="n"/>
      <c r="E76" s="41" t="inlineStr">
        <is>
          <t>202s</t>
        </is>
      </c>
      <c r="F76" s="41">
        <f>A76</f>
        <v/>
      </c>
      <c r="G76" s="42" t="n"/>
      <c r="H76" s="41" t="inlineStr">
        <is>
          <t>202s</t>
        </is>
      </c>
      <c r="I76" s="41" t="inlineStr">
        <is>
          <t>Lnft</t>
        </is>
      </c>
    </row>
    <row r="77" ht="21.25" customFormat="1" customHeight="1" s="39">
      <c r="A77" s="40" t="inlineStr">
        <is>
          <t>20 Ga 2 1/2” Track</t>
        </is>
      </c>
      <c r="B77" s="41" t="inlineStr">
        <is>
          <t>202t</t>
        </is>
      </c>
      <c r="C77" s="44" t="n">
        <v>0.9</v>
      </c>
      <c r="D77" s="42" t="n"/>
      <c r="E77" s="41" t="inlineStr">
        <is>
          <t>202t</t>
        </is>
      </c>
      <c r="F77" s="41">
        <f>A77</f>
        <v/>
      </c>
      <c r="G77" s="42" t="n"/>
      <c r="H77" s="41" t="inlineStr">
        <is>
          <t>202t</t>
        </is>
      </c>
      <c r="I77" s="41" t="inlineStr">
        <is>
          <t>Lnft</t>
        </is>
      </c>
    </row>
    <row r="78" ht="21.25" customFormat="1" customHeight="1" s="39">
      <c r="A78" s="40" t="inlineStr">
        <is>
          <t>20 Ga 2 1/2” Deep Track</t>
        </is>
      </c>
      <c r="B78" s="41" t="inlineStr">
        <is>
          <t>202dt</t>
        </is>
      </c>
      <c r="C78" s="44" t="n">
        <v>1.21</v>
      </c>
      <c r="D78" s="42" t="n"/>
      <c r="E78" s="41" t="inlineStr">
        <is>
          <t>202dt</t>
        </is>
      </c>
      <c r="F78" s="41">
        <f>A78</f>
        <v/>
      </c>
      <c r="G78" s="42" t="n"/>
      <c r="H78" s="41" t="inlineStr">
        <is>
          <t>202dt</t>
        </is>
      </c>
      <c r="I78" s="41" t="inlineStr">
        <is>
          <t>Lnft</t>
        </is>
      </c>
    </row>
    <row r="79" ht="21.25" customFormat="1" customHeight="1" s="39">
      <c r="A79" s="40" t="inlineStr">
        <is>
          <t>20 Ga 2 1/2 Slotted Track</t>
        </is>
      </c>
      <c r="B79" s="41" t="inlineStr">
        <is>
          <t>202st</t>
        </is>
      </c>
      <c r="C79" s="44" t="n">
        <v>2.56</v>
      </c>
      <c r="D79" s="42" t="n"/>
      <c r="E79" s="41" t="inlineStr">
        <is>
          <t>202st</t>
        </is>
      </c>
      <c r="F79" s="41">
        <f>A79</f>
        <v/>
      </c>
      <c r="G79" s="42" t="n"/>
      <c r="H79" s="41" t="inlineStr">
        <is>
          <t>202st</t>
        </is>
      </c>
      <c r="I79" s="41" t="inlineStr">
        <is>
          <t>Lnft</t>
        </is>
      </c>
    </row>
    <row r="80" ht="21.25" customFormat="1" customHeight="1" s="39">
      <c r="A80" s="40" t="inlineStr">
        <is>
          <t>20 Ga 3 5/8” Stud</t>
        </is>
      </c>
      <c r="B80" s="41" t="inlineStr">
        <is>
          <t>203s</t>
        </is>
      </c>
      <c r="C80" s="44" t="n">
        <v>1.185</v>
      </c>
      <c r="D80" s="42" t="n"/>
      <c r="E80" s="41" t="inlineStr">
        <is>
          <t>203s</t>
        </is>
      </c>
      <c r="F80" s="41">
        <f>A80</f>
        <v/>
      </c>
      <c r="G80" s="42" t="n"/>
      <c r="H80" s="41" t="inlineStr">
        <is>
          <t>203s</t>
        </is>
      </c>
      <c r="I80" s="41" t="inlineStr">
        <is>
          <t>Lnft</t>
        </is>
      </c>
    </row>
    <row r="81" ht="21.25" customFormat="1" customHeight="1" s="39">
      <c r="A81" s="40" t="inlineStr">
        <is>
          <t>20 Ga 3 5/8” Track</t>
        </is>
      </c>
      <c r="B81" s="41" t="inlineStr">
        <is>
          <t>203t</t>
        </is>
      </c>
      <c r="C81" s="44" t="n">
        <v>1.14</v>
      </c>
      <c r="D81" s="42" t="n"/>
      <c r="E81" s="41" t="inlineStr">
        <is>
          <t>203t</t>
        </is>
      </c>
      <c r="F81" s="41">
        <f>A81</f>
        <v/>
      </c>
      <c r="G81" s="42" t="n"/>
      <c r="H81" s="41" t="inlineStr">
        <is>
          <t>203t</t>
        </is>
      </c>
      <c r="I81" s="41" t="inlineStr">
        <is>
          <t>Lnft</t>
        </is>
      </c>
    </row>
    <row r="82" ht="21.25" customFormat="1" customHeight="1" s="39">
      <c r="A82" s="40" t="inlineStr">
        <is>
          <t>20 Ga 3 5/8” Deep Track</t>
        </is>
      </c>
      <c r="B82" s="41" t="inlineStr">
        <is>
          <t>203dt</t>
        </is>
      </c>
      <c r="C82" s="44" t="n">
        <v>1.39</v>
      </c>
      <c r="D82" s="42" t="n"/>
      <c r="E82" s="41" t="inlineStr">
        <is>
          <t>203dt</t>
        </is>
      </c>
      <c r="F82" s="41">
        <f>A82</f>
        <v/>
      </c>
      <c r="G82" s="42" t="n"/>
      <c r="H82" s="41" t="inlineStr">
        <is>
          <t>203dt</t>
        </is>
      </c>
      <c r="I82" s="41" t="inlineStr">
        <is>
          <t>Lnft</t>
        </is>
      </c>
    </row>
    <row r="83" ht="21.25" customFormat="1" customHeight="1" s="39">
      <c r="A83" s="40" t="inlineStr">
        <is>
          <t>20 Ga 3 5/8" Slotted Track</t>
        </is>
      </c>
      <c r="B83" s="41" t="inlineStr">
        <is>
          <t>203st</t>
        </is>
      </c>
      <c r="C83" s="44" t="n">
        <v>3.43</v>
      </c>
      <c r="D83" s="42" t="n"/>
      <c r="E83" s="41" t="inlineStr">
        <is>
          <t>203st</t>
        </is>
      </c>
      <c r="F83" s="41">
        <f>A83</f>
        <v/>
      </c>
      <c r="G83" s="42" t="n"/>
      <c r="H83" s="41" t="inlineStr">
        <is>
          <t>203st</t>
        </is>
      </c>
      <c r="I83" s="41" t="inlineStr">
        <is>
          <t>Lnft</t>
        </is>
      </c>
    </row>
    <row r="84" ht="21.25" customFormat="1" customHeight="1" s="39">
      <c r="A84" s="40" t="inlineStr">
        <is>
          <t>20 Ga 6" Stud</t>
        </is>
      </c>
      <c r="B84" s="41" t="inlineStr">
        <is>
          <t>206s</t>
        </is>
      </c>
      <c r="C84" s="44" t="n">
        <v>1.86</v>
      </c>
      <c r="D84" s="42" t="n"/>
      <c r="E84" s="41" t="inlineStr">
        <is>
          <t>206s</t>
        </is>
      </c>
      <c r="F84" s="41">
        <f>A84</f>
        <v/>
      </c>
      <c r="G84" s="42" t="n"/>
      <c r="H84" s="41" t="inlineStr">
        <is>
          <t>206s</t>
        </is>
      </c>
      <c r="I84" s="41" t="inlineStr">
        <is>
          <t>Lnft</t>
        </is>
      </c>
    </row>
    <row r="85" ht="21.25" customFormat="1" customHeight="1" s="39">
      <c r="A85" s="40" t="inlineStr">
        <is>
          <t>20 Ga 6” Track</t>
        </is>
      </c>
      <c r="B85" s="41" t="inlineStr">
        <is>
          <t>206t</t>
        </is>
      </c>
      <c r="C85" s="44" t="n">
        <v>1.73</v>
      </c>
      <c r="D85" s="42" t="n"/>
      <c r="E85" s="41" t="inlineStr">
        <is>
          <t>206t</t>
        </is>
      </c>
      <c r="F85" s="41">
        <f>A85</f>
        <v/>
      </c>
      <c r="G85" s="42" t="n"/>
      <c r="H85" s="41" t="inlineStr">
        <is>
          <t>206t</t>
        </is>
      </c>
      <c r="I85" s="41" t="inlineStr">
        <is>
          <t>Lnft</t>
        </is>
      </c>
    </row>
    <row r="86" ht="21.25" customFormat="1" customHeight="1" s="39">
      <c r="A86" s="40" t="inlineStr">
        <is>
          <t>20 Ga 6” Deep Track</t>
        </is>
      </c>
      <c r="B86" s="41" t="inlineStr">
        <is>
          <t>206dt</t>
        </is>
      </c>
      <c r="C86" s="44" t="n">
        <v>1.9</v>
      </c>
      <c r="D86" s="42" t="n"/>
      <c r="E86" s="41" t="inlineStr">
        <is>
          <t>206dt</t>
        </is>
      </c>
      <c r="F86" s="41">
        <f>A86</f>
        <v/>
      </c>
      <c r="G86" s="42" t="n"/>
      <c r="H86" s="41" t="inlineStr">
        <is>
          <t>206dt</t>
        </is>
      </c>
      <c r="I86" s="41" t="inlineStr">
        <is>
          <t>Lnft</t>
        </is>
      </c>
    </row>
    <row r="87" ht="21.25" customFormat="1" customHeight="1" s="39">
      <c r="A87" s="40" t="inlineStr">
        <is>
          <t>20 Ga 6” Slotted Track</t>
        </is>
      </c>
      <c r="B87" s="41" t="inlineStr">
        <is>
          <t>206st</t>
        </is>
      </c>
      <c r="C87" s="44" t="n">
        <v>3.485</v>
      </c>
      <c r="D87" s="42" t="n"/>
      <c r="E87" s="41" t="inlineStr">
        <is>
          <t>206st</t>
        </is>
      </c>
      <c r="F87" s="41">
        <f>A87</f>
        <v/>
      </c>
      <c r="G87" s="42" t="n"/>
      <c r="H87" s="41" t="inlineStr">
        <is>
          <t>206st</t>
        </is>
      </c>
      <c r="I87" s="41" t="inlineStr">
        <is>
          <t>Lnft</t>
        </is>
      </c>
    </row>
    <row r="88" ht="21.25" customFormat="1" customHeight="1" s="39">
      <c r="A88" s="40" t="inlineStr">
        <is>
          <t>20 Ga 8" Stud</t>
        </is>
      </c>
      <c r="B88" s="41" t="inlineStr">
        <is>
          <t>208s</t>
        </is>
      </c>
      <c r="C88" s="44" t="n">
        <v>2.661</v>
      </c>
      <c r="D88" s="42" t="n"/>
      <c r="E88" s="41" t="inlineStr">
        <is>
          <t>208s</t>
        </is>
      </c>
      <c r="F88" s="41">
        <f>A88</f>
        <v/>
      </c>
      <c r="G88" s="42" t="n"/>
      <c r="H88" s="41" t="inlineStr">
        <is>
          <t>208s</t>
        </is>
      </c>
      <c r="I88" s="41" t="inlineStr">
        <is>
          <t>Lnft</t>
        </is>
      </c>
    </row>
    <row r="89" ht="21.25" customFormat="1" customHeight="1" s="39">
      <c r="A89" s="40" t="inlineStr">
        <is>
          <t>20 Ga 8” Track</t>
        </is>
      </c>
      <c r="B89" s="41" t="inlineStr">
        <is>
          <t>208t</t>
        </is>
      </c>
      <c r="C89" s="44" t="n">
        <v>2.673</v>
      </c>
      <c r="D89" s="42" t="n"/>
      <c r="E89" s="41" t="inlineStr">
        <is>
          <t>208t</t>
        </is>
      </c>
      <c r="F89" s="41">
        <f>A89</f>
        <v/>
      </c>
      <c r="G89" s="42" t="n"/>
      <c r="H89" s="41" t="inlineStr">
        <is>
          <t>208t</t>
        </is>
      </c>
      <c r="I89" s="41" t="inlineStr">
        <is>
          <t>Lnft</t>
        </is>
      </c>
    </row>
    <row r="90" ht="21.25" customFormat="1" customHeight="1" s="39">
      <c r="A90" s="40" t="inlineStr">
        <is>
          <t>20 Ga 8” Deep Track</t>
        </is>
      </c>
      <c r="B90" s="41" t="inlineStr">
        <is>
          <t>208dt</t>
        </is>
      </c>
      <c r="C90" s="42" t="n">
        <v>3.168</v>
      </c>
      <c r="D90" s="42" t="n"/>
      <c r="E90" s="41" t="inlineStr">
        <is>
          <t>208dt</t>
        </is>
      </c>
      <c r="F90" s="41">
        <f>A90</f>
        <v/>
      </c>
      <c r="G90" s="42" t="n"/>
      <c r="H90" s="41" t="inlineStr">
        <is>
          <t>208dt</t>
        </is>
      </c>
      <c r="I90" s="41" t="inlineStr">
        <is>
          <t>Lnft</t>
        </is>
      </c>
    </row>
    <row r="91" ht="21.25" customFormat="1" customHeight="1" s="39">
      <c r="A91" s="40" t="inlineStr">
        <is>
          <t>20 Ga 8” Slotted Track</t>
        </is>
      </c>
      <c r="B91" s="41" t="inlineStr">
        <is>
          <t>208st</t>
        </is>
      </c>
      <c r="C91" s="44" t="n">
        <v>5.162</v>
      </c>
      <c r="D91" s="42" t="n"/>
      <c r="E91" s="41" t="inlineStr">
        <is>
          <t>208st</t>
        </is>
      </c>
      <c r="F91" s="41">
        <f>A91</f>
        <v/>
      </c>
      <c r="G91" s="42" t="n"/>
      <c r="H91" s="41" t="inlineStr">
        <is>
          <t>208st</t>
        </is>
      </c>
      <c r="I91" s="41" t="inlineStr">
        <is>
          <t>Lnft</t>
        </is>
      </c>
    </row>
    <row r="92" ht="21.25" customFormat="1" customHeight="1" s="39">
      <c r="A92" s="40" t="inlineStr">
        <is>
          <t>20 Ga 2 1/2” Stud 1 5/8” Flange'</t>
        </is>
      </c>
      <c r="B92" s="41" t="inlineStr">
        <is>
          <t>202swl</t>
        </is>
      </c>
      <c r="C92" s="44" t="inlineStr">
        <is>
          <t>?</t>
        </is>
      </c>
      <c r="D92" s="42" t="n"/>
      <c r="E92" s="41" t="inlineStr">
        <is>
          <t>202swl</t>
        </is>
      </c>
      <c r="F92" s="41">
        <f>A92</f>
        <v/>
      </c>
      <c r="G92" s="42" t="n"/>
      <c r="H92" s="41" t="inlineStr">
        <is>
          <t>202swl</t>
        </is>
      </c>
      <c r="I92" s="41" t="inlineStr">
        <is>
          <t>Lnft</t>
        </is>
      </c>
    </row>
    <row r="93" ht="21.25" customFormat="1" customHeight="1" s="39">
      <c r="A93" s="40" t="inlineStr">
        <is>
          <t>20 Ga 3 5/8” Stud 1 5/8” Flange</t>
        </is>
      </c>
      <c r="B93" s="41" t="inlineStr">
        <is>
          <t>203swl</t>
        </is>
      </c>
      <c r="C93" s="44" t="n">
        <v>1.47</v>
      </c>
      <c r="D93" s="42" t="n"/>
      <c r="E93" s="41" t="inlineStr">
        <is>
          <t>203swl</t>
        </is>
      </c>
      <c r="F93" s="41">
        <f>A93</f>
        <v/>
      </c>
      <c r="G93" s="42" t="n"/>
      <c r="H93" s="41" t="inlineStr">
        <is>
          <t>203swl</t>
        </is>
      </c>
      <c r="I93" s="41" t="inlineStr">
        <is>
          <t>Lnft</t>
        </is>
      </c>
    </row>
    <row r="94" ht="21.25" customFormat="1" customHeight="1" s="39">
      <c r="A94" s="40" t="inlineStr">
        <is>
          <t>20 Ga 6" Stud 1 5/8” Flange</t>
        </is>
      </c>
      <c r="B94" s="41" t="inlineStr">
        <is>
          <t>206swl</t>
        </is>
      </c>
      <c r="C94" s="44" t="n">
        <v>1.975</v>
      </c>
      <c r="D94" s="42" t="n"/>
      <c r="E94" s="41" t="inlineStr">
        <is>
          <t>206swl</t>
        </is>
      </c>
      <c r="F94" s="41">
        <f>A94</f>
        <v/>
      </c>
      <c r="G94" s="42" t="n"/>
      <c r="H94" s="41" t="inlineStr">
        <is>
          <t>206swl</t>
        </is>
      </c>
      <c r="I94" s="41" t="inlineStr">
        <is>
          <t>Lnft</t>
        </is>
      </c>
    </row>
    <row r="95" ht="21.25" customFormat="1" customHeight="1" s="39">
      <c r="A95" s="40" t="inlineStr">
        <is>
          <t>20 Ga 8" Stud 1 5/8" Flange</t>
        </is>
      </c>
      <c r="B95" s="41" t="inlineStr">
        <is>
          <t>208swl</t>
        </is>
      </c>
      <c r="C95" s="44" t="n">
        <v>3.219</v>
      </c>
      <c r="D95" s="42" t="n"/>
      <c r="E95" s="41" t="inlineStr">
        <is>
          <t>208swl</t>
        </is>
      </c>
      <c r="F95" s="41">
        <f>A95</f>
        <v/>
      </c>
      <c r="G95" s="42" t="n"/>
      <c r="H95" s="41" t="inlineStr">
        <is>
          <t>208swl</t>
        </is>
      </c>
      <c r="I95" s="41" t="inlineStr">
        <is>
          <t>Lnft</t>
        </is>
      </c>
    </row>
    <row r="96" ht="21.25" customFormat="1" customHeight="1" s="39">
      <c r="A96" s="40" t="n"/>
      <c r="B96" s="41" t="n"/>
      <c r="C96" s="44" t="n"/>
      <c r="D96" s="42" t="n"/>
      <c r="E96" s="41" t="n"/>
      <c r="F96" s="41">
        <f>A96</f>
        <v/>
      </c>
      <c r="G96" s="42" t="n"/>
      <c r="H96" s="41" t="n"/>
      <c r="I96" s="41" t="inlineStr">
        <is>
          <t>Lnft</t>
        </is>
      </c>
    </row>
    <row r="97" ht="21.25" customFormat="1" customHeight="1" s="39">
      <c r="A97" s="40" t="inlineStr">
        <is>
          <t>18 Ga 1 5/8” Stud</t>
        </is>
      </c>
      <c r="B97" s="41" t="inlineStr">
        <is>
          <t>181s</t>
        </is>
      </c>
      <c r="C97" s="44" t="inlineStr">
        <is>
          <t>?</t>
        </is>
      </c>
      <c r="D97" s="42" t="n"/>
      <c r="E97" s="41" t="inlineStr">
        <is>
          <t>181s</t>
        </is>
      </c>
      <c r="F97" s="41">
        <f>A97</f>
        <v/>
      </c>
      <c r="G97" s="42" t="n"/>
      <c r="H97" s="41" t="inlineStr">
        <is>
          <t>181s</t>
        </is>
      </c>
      <c r="I97" s="41" t="inlineStr">
        <is>
          <t>Lnft</t>
        </is>
      </c>
    </row>
    <row r="98" ht="21.25" customFormat="1" customHeight="1" s="39">
      <c r="A98" s="40" t="inlineStr">
        <is>
          <t>18 Ga 1 5/8” Track</t>
        </is>
      </c>
      <c r="B98" s="41" t="inlineStr">
        <is>
          <t>181t</t>
        </is>
      </c>
      <c r="C98" s="44" t="inlineStr">
        <is>
          <t>?</t>
        </is>
      </c>
      <c r="D98" s="42" t="n"/>
      <c r="E98" s="41" t="inlineStr">
        <is>
          <t>181t</t>
        </is>
      </c>
      <c r="F98" s="41">
        <f>A98</f>
        <v/>
      </c>
      <c r="G98" s="42" t="n"/>
      <c r="H98" s="41" t="inlineStr">
        <is>
          <t>181t</t>
        </is>
      </c>
      <c r="I98" s="41" t="inlineStr">
        <is>
          <t>Lnft</t>
        </is>
      </c>
    </row>
    <row r="99" ht="21.25" customFormat="1" customHeight="1" s="39">
      <c r="A99" s="40" t="inlineStr">
        <is>
          <t>18 Ga 1 5/8” Deep Tack</t>
        </is>
      </c>
      <c r="B99" s="41" t="inlineStr">
        <is>
          <t>181dt</t>
        </is>
      </c>
      <c r="C99" s="44" t="inlineStr">
        <is>
          <t>?</t>
        </is>
      </c>
      <c r="D99" s="42" t="n"/>
      <c r="E99" s="41" t="inlineStr">
        <is>
          <t>181dt</t>
        </is>
      </c>
      <c r="F99" s="41">
        <f>A99</f>
        <v/>
      </c>
      <c r="G99" s="42" t="n"/>
      <c r="H99" s="41" t="inlineStr">
        <is>
          <t>181dt</t>
        </is>
      </c>
      <c r="I99" s="41" t="inlineStr">
        <is>
          <t>Lnft</t>
        </is>
      </c>
    </row>
    <row r="100" ht="21.25" customFormat="1" customHeight="1" s="39">
      <c r="A100" s="40" t="inlineStr">
        <is>
          <t xml:space="preserve">18 Ga 2 1/2” Stud </t>
        </is>
      </c>
      <c r="B100" s="41" t="inlineStr">
        <is>
          <t>182s</t>
        </is>
      </c>
      <c r="C100" s="44" t="inlineStr">
        <is>
          <t>?</t>
        </is>
      </c>
      <c r="D100" s="42" t="n"/>
      <c r="E100" s="41" t="inlineStr">
        <is>
          <t>182s</t>
        </is>
      </c>
      <c r="F100" s="41">
        <f>A100</f>
        <v/>
      </c>
      <c r="G100" s="42" t="n"/>
      <c r="H100" s="41" t="inlineStr">
        <is>
          <t>182s</t>
        </is>
      </c>
      <c r="I100" s="41" t="inlineStr">
        <is>
          <t>Lnft</t>
        </is>
      </c>
    </row>
    <row r="101" ht="21.25" customFormat="1" customHeight="1" s="39">
      <c r="A101" s="40" t="inlineStr">
        <is>
          <t>18 Ga 2 1/2” Track</t>
        </is>
      </c>
      <c r="B101" s="41" t="inlineStr">
        <is>
          <t>182t</t>
        </is>
      </c>
      <c r="C101" s="44" t="inlineStr">
        <is>
          <t>?</t>
        </is>
      </c>
      <c r="D101" s="42" t="n"/>
      <c r="E101" s="41" t="inlineStr">
        <is>
          <t>182t</t>
        </is>
      </c>
      <c r="F101" s="41">
        <f>A101</f>
        <v/>
      </c>
      <c r="G101" s="42" t="n"/>
      <c r="H101" s="41" t="inlineStr">
        <is>
          <t>182t</t>
        </is>
      </c>
      <c r="I101" s="41" t="inlineStr">
        <is>
          <t>Lnft</t>
        </is>
      </c>
    </row>
    <row r="102" ht="21.25" customFormat="1" customHeight="1" s="39">
      <c r="A102" s="40" t="inlineStr">
        <is>
          <t>18 Ga 2 1/2” Deep Track</t>
        </is>
      </c>
      <c r="B102" s="41" t="inlineStr">
        <is>
          <t>182dt</t>
        </is>
      </c>
      <c r="C102" s="44" t="inlineStr">
        <is>
          <t>?</t>
        </is>
      </c>
      <c r="D102" s="42" t="n"/>
      <c r="E102" s="41" t="inlineStr">
        <is>
          <t>182dt</t>
        </is>
      </c>
      <c r="F102" s="41">
        <f>A102</f>
        <v/>
      </c>
      <c r="G102" s="42" t="n"/>
      <c r="H102" s="41" t="inlineStr">
        <is>
          <t>182dt</t>
        </is>
      </c>
      <c r="I102" s="41" t="inlineStr">
        <is>
          <t>Lnft</t>
        </is>
      </c>
    </row>
    <row r="103" ht="21.25" customFormat="1" customHeight="1" s="39">
      <c r="A103" s="40" t="inlineStr">
        <is>
          <t>18 Ga 2 1/2 Slotted Track</t>
        </is>
      </c>
      <c r="B103" s="41" t="inlineStr">
        <is>
          <t>182st</t>
        </is>
      </c>
      <c r="C103" s="44" t="inlineStr">
        <is>
          <t>?</t>
        </is>
      </c>
      <c r="D103" s="42" t="n"/>
      <c r="E103" s="41" t="inlineStr">
        <is>
          <t>182st</t>
        </is>
      </c>
      <c r="F103" s="41">
        <f>A103</f>
        <v/>
      </c>
      <c r="G103" s="42" t="n"/>
      <c r="H103" s="41" t="inlineStr">
        <is>
          <t>182st</t>
        </is>
      </c>
      <c r="I103" s="41" t="inlineStr">
        <is>
          <t>Lnft</t>
        </is>
      </c>
    </row>
    <row r="104" ht="21.25" customFormat="1" customHeight="1" s="39">
      <c r="A104" s="40" t="inlineStr">
        <is>
          <t>18 Ga 3 5/8” Stud</t>
        </is>
      </c>
      <c r="B104" s="41" t="inlineStr">
        <is>
          <t>183s</t>
        </is>
      </c>
      <c r="C104" s="44" t="n">
        <v>1.47</v>
      </c>
      <c r="D104" s="42" t="n"/>
      <c r="E104" s="41" t="inlineStr">
        <is>
          <t>183s</t>
        </is>
      </c>
      <c r="F104" s="41">
        <f>A104</f>
        <v/>
      </c>
      <c r="G104" s="42" t="n"/>
      <c r="H104" s="41" t="inlineStr">
        <is>
          <t>183s</t>
        </is>
      </c>
      <c r="I104" s="41" t="inlineStr">
        <is>
          <t>Lnft</t>
        </is>
      </c>
    </row>
    <row r="105" ht="21.25" customFormat="1" customHeight="1" s="39">
      <c r="A105" s="40" t="inlineStr">
        <is>
          <t>18 Ga 3 5/8” Track</t>
        </is>
      </c>
      <c r="B105" s="41" t="inlineStr">
        <is>
          <t>183t</t>
        </is>
      </c>
      <c r="C105" s="44" t="n">
        <v>1.525</v>
      </c>
      <c r="D105" s="42" t="n"/>
      <c r="E105" s="41" t="inlineStr">
        <is>
          <t>183t</t>
        </is>
      </c>
      <c r="F105" s="41">
        <f>A105</f>
        <v/>
      </c>
      <c r="G105" s="42" t="n"/>
      <c r="H105" s="41" t="inlineStr">
        <is>
          <t>183t</t>
        </is>
      </c>
      <c r="I105" s="41" t="inlineStr">
        <is>
          <t>Lnft</t>
        </is>
      </c>
    </row>
    <row r="106" ht="21.25" customFormat="1" customHeight="1" s="39">
      <c r="A106" s="40" t="inlineStr">
        <is>
          <t>18 Ga 3 5/8” Deep Track</t>
        </is>
      </c>
      <c r="B106" s="41" t="inlineStr">
        <is>
          <t>183dt</t>
        </is>
      </c>
      <c r="C106" s="44" t="n">
        <v>1.93</v>
      </c>
      <c r="D106" s="42" t="n"/>
      <c r="E106" s="41" t="inlineStr">
        <is>
          <t>183dt</t>
        </is>
      </c>
      <c r="F106" s="41">
        <f>A106</f>
        <v/>
      </c>
      <c r="G106" s="42" t="n"/>
      <c r="H106" s="41" t="inlineStr">
        <is>
          <t>183dt</t>
        </is>
      </c>
      <c r="I106" s="41" t="inlineStr">
        <is>
          <t>Lnft</t>
        </is>
      </c>
    </row>
    <row r="107" ht="21.25" customFormat="1" customHeight="1" s="39">
      <c r="A107" s="40" t="inlineStr">
        <is>
          <t>18 Ga 3 5/8" Slotted Track</t>
        </is>
      </c>
      <c r="B107" s="41" t="inlineStr">
        <is>
          <t>183st</t>
        </is>
      </c>
      <c r="C107" s="44" t="n">
        <v>3.61</v>
      </c>
      <c r="D107" s="42" t="n"/>
      <c r="E107" s="41" t="inlineStr">
        <is>
          <t>183st</t>
        </is>
      </c>
      <c r="F107" s="41">
        <f>A107</f>
        <v/>
      </c>
      <c r="G107" s="42" t="n"/>
      <c r="H107" s="41" t="inlineStr">
        <is>
          <t>183st</t>
        </is>
      </c>
      <c r="I107" s="41" t="inlineStr">
        <is>
          <t>Lnft</t>
        </is>
      </c>
    </row>
    <row r="108" ht="21.25" customFormat="1" customHeight="1" s="39">
      <c r="A108" s="40" t="inlineStr">
        <is>
          <t>18 Ga 6” Stud</t>
        </is>
      </c>
      <c r="B108" s="41" t="inlineStr">
        <is>
          <t>186s</t>
        </is>
      </c>
      <c r="C108" s="44" t="n">
        <v>2.56</v>
      </c>
      <c r="D108" s="42" t="n"/>
      <c r="E108" s="41" t="inlineStr">
        <is>
          <t>186s</t>
        </is>
      </c>
      <c r="F108" s="41">
        <f>A108</f>
        <v/>
      </c>
      <c r="G108" s="42" t="n"/>
      <c r="H108" s="41" t="inlineStr">
        <is>
          <t>186s</t>
        </is>
      </c>
      <c r="I108" s="41" t="inlineStr">
        <is>
          <t>Lnft</t>
        </is>
      </c>
    </row>
    <row r="109" ht="21.25" customFormat="1" customHeight="1" s="39">
      <c r="A109" s="40" t="inlineStr">
        <is>
          <t>18 Ga 6” Track</t>
        </is>
      </c>
      <c r="B109" s="41" t="inlineStr">
        <is>
          <t>186t</t>
        </is>
      </c>
      <c r="C109" s="44" t="n">
        <v>2.2</v>
      </c>
      <c r="D109" s="42" t="n"/>
      <c r="E109" s="41" t="inlineStr">
        <is>
          <t>186t</t>
        </is>
      </c>
      <c r="F109" s="41">
        <f>A109</f>
        <v/>
      </c>
      <c r="G109" s="42" t="n"/>
      <c r="H109" s="41" t="inlineStr">
        <is>
          <t>186t</t>
        </is>
      </c>
      <c r="I109" s="41" t="inlineStr">
        <is>
          <t>Lnft</t>
        </is>
      </c>
    </row>
    <row r="110" ht="21.25" customFormat="1" customHeight="1" s="39">
      <c r="A110" s="40" t="inlineStr">
        <is>
          <t>18 Ga 6” Deep Track</t>
        </is>
      </c>
      <c r="B110" s="41" t="inlineStr">
        <is>
          <t>186dt</t>
        </is>
      </c>
      <c r="C110" s="44" t="n">
        <v>2.56</v>
      </c>
      <c r="D110" s="42" t="n"/>
      <c r="E110" s="41" t="inlineStr">
        <is>
          <t>186dt</t>
        </is>
      </c>
      <c r="F110" s="41">
        <f>A110</f>
        <v/>
      </c>
      <c r="G110" s="42" t="n"/>
      <c r="H110" s="41" t="inlineStr">
        <is>
          <t>186dt</t>
        </is>
      </c>
      <c r="I110" s="41" t="inlineStr">
        <is>
          <t>Lnft</t>
        </is>
      </c>
    </row>
    <row r="111" ht="21.25" customFormat="1" customHeight="1" s="39">
      <c r="A111" s="40" t="inlineStr">
        <is>
          <t>18 Ga 6” Slotted Track</t>
        </is>
      </c>
      <c r="B111" s="41" t="inlineStr">
        <is>
          <t>186st</t>
        </is>
      </c>
      <c r="C111" s="42" t="n">
        <v>3.99</v>
      </c>
      <c r="D111" s="42" t="n"/>
      <c r="E111" s="41" t="inlineStr">
        <is>
          <t>186st</t>
        </is>
      </c>
      <c r="F111" s="41">
        <f>A111</f>
        <v/>
      </c>
      <c r="G111" s="42" t="n"/>
      <c r="H111" s="41" t="inlineStr">
        <is>
          <t>186st</t>
        </is>
      </c>
      <c r="I111" s="41" t="inlineStr">
        <is>
          <t>Lnft</t>
        </is>
      </c>
    </row>
    <row r="112" ht="21.25" customFormat="1" customHeight="1" s="39">
      <c r="A112" s="40" t="inlineStr">
        <is>
          <t>18 Ga 8" Stud</t>
        </is>
      </c>
      <c r="B112" s="41" t="inlineStr">
        <is>
          <t>188s</t>
        </is>
      </c>
      <c r="C112" s="42" t="n">
        <v>3.681</v>
      </c>
      <c r="D112" s="42" t="n"/>
      <c r="E112" s="41" t="inlineStr">
        <is>
          <t>188s</t>
        </is>
      </c>
      <c r="F112" s="41">
        <f>A112</f>
        <v/>
      </c>
      <c r="G112" s="42" t="n"/>
      <c r="H112" s="41" t="inlineStr">
        <is>
          <t>188s</t>
        </is>
      </c>
      <c r="I112" s="41" t="inlineStr">
        <is>
          <t>Lnft</t>
        </is>
      </c>
    </row>
    <row r="113" ht="21.25" customFormat="1" customHeight="1" s="39">
      <c r="A113" s="40" t="inlineStr">
        <is>
          <t>18 Ga 8” Track</t>
        </is>
      </c>
      <c r="B113" s="41" t="inlineStr">
        <is>
          <t>188t</t>
        </is>
      </c>
      <c r="C113" s="42" t="n">
        <v>3.246</v>
      </c>
      <c r="D113" s="42" t="n"/>
      <c r="E113" s="41" t="inlineStr">
        <is>
          <t>188t</t>
        </is>
      </c>
      <c r="F113" s="41">
        <f>A113</f>
        <v/>
      </c>
      <c r="G113" s="42" t="n"/>
      <c r="H113" s="41" t="inlineStr">
        <is>
          <t>188t</t>
        </is>
      </c>
      <c r="I113" s="41" t="inlineStr">
        <is>
          <t>Lnft</t>
        </is>
      </c>
    </row>
    <row r="114" ht="21.25" customFormat="1" customHeight="1" s="39">
      <c r="A114" s="40" t="inlineStr">
        <is>
          <t>18 Ga 8” Deep Track</t>
        </is>
      </c>
      <c r="B114" s="41" t="inlineStr">
        <is>
          <t>188dt</t>
        </is>
      </c>
      <c r="C114" s="42" t="n">
        <v>3.246</v>
      </c>
      <c r="D114" s="42" t="n"/>
      <c r="E114" s="41" t="inlineStr">
        <is>
          <t>188dt</t>
        </is>
      </c>
      <c r="F114" s="41">
        <f>A114</f>
        <v/>
      </c>
      <c r="G114" s="42" t="n"/>
      <c r="H114" s="41" t="inlineStr">
        <is>
          <t>188dt</t>
        </is>
      </c>
      <c r="I114" s="41" t="inlineStr">
        <is>
          <t>Lnft</t>
        </is>
      </c>
    </row>
    <row r="115" ht="21.25" customFormat="1" customHeight="1" s="39">
      <c r="A115" s="40" t="inlineStr">
        <is>
          <t>18 Ga 8” Slotted Track</t>
        </is>
      </c>
      <c r="B115" s="41" t="inlineStr">
        <is>
          <t>188st</t>
        </is>
      </c>
      <c r="C115" s="44" t="n">
        <v>6.04</v>
      </c>
      <c r="D115" s="42" t="n"/>
      <c r="E115" s="41" t="inlineStr">
        <is>
          <t>188st</t>
        </is>
      </c>
      <c r="F115" s="41">
        <f>A115</f>
        <v/>
      </c>
      <c r="G115" s="42" t="n"/>
      <c r="H115" s="41" t="inlineStr">
        <is>
          <t>188st</t>
        </is>
      </c>
      <c r="I115" s="41" t="inlineStr">
        <is>
          <t>Lnft</t>
        </is>
      </c>
    </row>
    <row r="116" ht="21.25" customFormat="1" customHeight="1" s="39">
      <c r="A116" s="40" t="n"/>
      <c r="B116" s="41" t="n"/>
      <c r="C116" s="44" t="n"/>
      <c r="D116" s="42" t="n"/>
      <c r="E116" s="41" t="n"/>
      <c r="F116" s="41">
        <f>A116</f>
        <v/>
      </c>
      <c r="G116" s="42" t="n"/>
      <c r="H116" s="41" t="n"/>
      <c r="I116" s="41" t="inlineStr">
        <is>
          <t>Lnft</t>
        </is>
      </c>
    </row>
    <row r="117" ht="21.25" customFormat="1" customHeight="1" s="39">
      <c r="A117" s="40" t="inlineStr">
        <is>
          <t>16 Ga 3 5/8” Stud</t>
        </is>
      </c>
      <c r="B117" s="41" t="inlineStr">
        <is>
          <t>163s</t>
        </is>
      </c>
      <c r="C117" s="44" t="n">
        <v>2.575</v>
      </c>
      <c r="D117" s="42" t="n"/>
      <c r="E117" s="41" t="inlineStr">
        <is>
          <t>163s</t>
        </is>
      </c>
      <c r="F117" s="41">
        <f>A117</f>
        <v/>
      </c>
      <c r="G117" s="42" t="n"/>
      <c r="H117" s="41" t="inlineStr">
        <is>
          <t>163s</t>
        </is>
      </c>
      <c r="I117" s="41" t="inlineStr">
        <is>
          <t>Lnft</t>
        </is>
      </c>
    </row>
    <row r="118" ht="21.25" customFormat="1" customHeight="1" s="39">
      <c r="A118" s="40" t="inlineStr">
        <is>
          <t>16 Ga 3 5/8” Track</t>
        </is>
      </c>
      <c r="B118" s="41" t="inlineStr">
        <is>
          <t>163t</t>
        </is>
      </c>
      <c r="C118" s="44" t="n">
        <v>1.945</v>
      </c>
      <c r="D118" s="42" t="n"/>
      <c r="E118" s="41" t="inlineStr">
        <is>
          <t>163t</t>
        </is>
      </c>
      <c r="F118" s="41">
        <f>A118</f>
        <v/>
      </c>
      <c r="G118" s="42" t="n"/>
      <c r="H118" s="41" t="inlineStr">
        <is>
          <t>163t</t>
        </is>
      </c>
      <c r="I118" s="41" t="inlineStr">
        <is>
          <t>Lnft</t>
        </is>
      </c>
    </row>
    <row r="119" ht="21.25" customFormat="1" customHeight="1" s="39">
      <c r="A119" s="40" t="inlineStr">
        <is>
          <t>16 Ga 3 5/8” Deep Track</t>
        </is>
      </c>
      <c r="B119" s="41" t="inlineStr">
        <is>
          <t>163dt</t>
        </is>
      </c>
      <c r="C119" s="44" t="n">
        <v>2.515</v>
      </c>
      <c r="D119" s="42" t="n"/>
      <c r="E119" s="41" t="inlineStr">
        <is>
          <t>163dt</t>
        </is>
      </c>
      <c r="F119" s="41">
        <f>A119</f>
        <v/>
      </c>
      <c r="G119" s="42" t="n"/>
      <c r="H119" s="41" t="inlineStr">
        <is>
          <t>163dt</t>
        </is>
      </c>
      <c r="I119" s="41" t="inlineStr">
        <is>
          <t>Lnft</t>
        </is>
      </c>
    </row>
    <row r="120" ht="21.25" customFormat="1" customHeight="1" s="39">
      <c r="A120" s="40" t="inlineStr">
        <is>
          <t>16 Ga 3 5/8" Slotted Track</t>
        </is>
      </c>
      <c r="B120" s="41" t="inlineStr">
        <is>
          <t>163st</t>
        </is>
      </c>
      <c r="C120" s="44" t="n">
        <v>4.3</v>
      </c>
      <c r="D120" s="42" t="n"/>
      <c r="E120" s="41" t="inlineStr">
        <is>
          <t>163st</t>
        </is>
      </c>
      <c r="F120" s="41">
        <f>A120</f>
        <v/>
      </c>
      <c r="G120" s="42" t="n"/>
      <c r="H120" s="41" t="inlineStr">
        <is>
          <t>163st</t>
        </is>
      </c>
      <c r="I120" s="41" t="inlineStr">
        <is>
          <t>Lnft</t>
        </is>
      </c>
    </row>
    <row r="121" ht="21.25" customFormat="1" customHeight="1" s="39">
      <c r="A121" s="41" t="inlineStr">
        <is>
          <t>16 Ga 6" Stud</t>
        </is>
      </c>
      <c r="B121" s="41" t="inlineStr">
        <is>
          <t>166s</t>
        </is>
      </c>
      <c r="C121" s="44" t="n">
        <v>3.445</v>
      </c>
      <c r="D121" s="42" t="n"/>
      <c r="E121" s="41" t="inlineStr">
        <is>
          <t>166s</t>
        </is>
      </c>
      <c r="F121" s="41">
        <f>A121</f>
        <v/>
      </c>
      <c r="G121" s="42" t="n"/>
      <c r="H121" s="41" t="inlineStr">
        <is>
          <t>166s</t>
        </is>
      </c>
      <c r="I121" s="41" t="inlineStr">
        <is>
          <t>Lnft</t>
        </is>
      </c>
    </row>
    <row r="122" ht="21.25" customFormat="1" customHeight="1" s="39">
      <c r="A122" s="40" t="inlineStr">
        <is>
          <t>16 Ga 6” Track</t>
        </is>
      </c>
      <c r="B122" s="41" t="inlineStr">
        <is>
          <t>166t</t>
        </is>
      </c>
      <c r="C122" s="44" t="n">
        <v>2.75</v>
      </c>
      <c r="D122" s="42" t="n"/>
      <c r="E122" s="41" t="inlineStr">
        <is>
          <t>166t</t>
        </is>
      </c>
      <c r="F122" s="41">
        <f>A122</f>
        <v/>
      </c>
      <c r="G122" s="42" t="n"/>
      <c r="H122" s="41" t="inlineStr">
        <is>
          <t>166t</t>
        </is>
      </c>
      <c r="I122" s="41" t="inlineStr">
        <is>
          <t>Lnft</t>
        </is>
      </c>
    </row>
    <row r="123" ht="21.25" customFormat="1" customHeight="1" s="39">
      <c r="A123" s="40" t="inlineStr">
        <is>
          <t>16 Ga 6” Deep Track</t>
        </is>
      </c>
      <c r="B123" s="41" t="inlineStr">
        <is>
          <t>166dt</t>
        </is>
      </c>
      <c r="C123" s="42" t="n">
        <v>3.28</v>
      </c>
      <c r="D123" s="42" t="n"/>
      <c r="E123" s="41" t="inlineStr">
        <is>
          <t>166dt</t>
        </is>
      </c>
      <c r="F123" s="41">
        <f>A123</f>
        <v/>
      </c>
      <c r="G123" s="42" t="n"/>
      <c r="H123" s="41" t="inlineStr">
        <is>
          <t>166dt</t>
        </is>
      </c>
      <c r="I123" s="41" t="inlineStr">
        <is>
          <t>Lnft</t>
        </is>
      </c>
    </row>
    <row r="124" ht="21.25" customFormat="1" customHeight="1" s="39">
      <c r="A124" s="40" t="inlineStr">
        <is>
          <t>16 Ga 6” Slotted Track</t>
        </is>
      </c>
      <c r="B124" s="41" t="inlineStr">
        <is>
          <t>166st</t>
        </is>
      </c>
      <c r="C124" s="44" t="n">
        <v>5.1</v>
      </c>
      <c r="D124" s="42" t="n"/>
      <c r="E124" s="41" t="inlineStr">
        <is>
          <t>166st</t>
        </is>
      </c>
      <c r="F124" s="41">
        <f>A124</f>
        <v/>
      </c>
      <c r="G124" s="42" t="n"/>
      <c r="H124" s="41" t="inlineStr">
        <is>
          <t>166st</t>
        </is>
      </c>
      <c r="I124" s="41" t="inlineStr">
        <is>
          <t>Lnft</t>
        </is>
      </c>
    </row>
    <row r="125" ht="21.25" customFormat="1" customHeight="1" s="39">
      <c r="A125" s="40" t="inlineStr">
        <is>
          <t>16 Ga 8" Stud</t>
        </is>
      </c>
      <c r="B125" s="41" t="inlineStr">
        <is>
          <t>168s</t>
        </is>
      </c>
      <c r="C125" s="44" t="inlineStr">
        <is>
          <t>?</t>
        </is>
      </c>
      <c r="D125" s="42" t="n"/>
      <c r="E125" s="41" t="inlineStr">
        <is>
          <t>168s</t>
        </is>
      </c>
      <c r="F125" s="41">
        <f>A125</f>
        <v/>
      </c>
      <c r="G125" s="42" t="n"/>
      <c r="H125" s="41" t="inlineStr">
        <is>
          <t>168s</t>
        </is>
      </c>
      <c r="I125" s="41" t="inlineStr">
        <is>
          <t>Lnft</t>
        </is>
      </c>
    </row>
    <row r="126" ht="21.25" customFormat="1" customHeight="1" s="39">
      <c r="A126" s="45" t="inlineStr">
        <is>
          <t>16 Ga 8” Track</t>
        </is>
      </c>
      <c r="B126" s="41" t="inlineStr">
        <is>
          <t>168t</t>
        </is>
      </c>
      <c r="C126" s="44" t="inlineStr">
        <is>
          <t>?</t>
        </is>
      </c>
      <c r="D126" s="42" t="n"/>
      <c r="E126" s="41" t="inlineStr">
        <is>
          <t>168t</t>
        </is>
      </c>
      <c r="F126" s="41">
        <f>A126</f>
        <v/>
      </c>
      <c r="G126" s="42" t="n"/>
      <c r="H126" s="41" t="inlineStr">
        <is>
          <t>168t</t>
        </is>
      </c>
      <c r="I126" s="41" t="inlineStr">
        <is>
          <t>Lnft</t>
        </is>
      </c>
    </row>
    <row r="127" ht="21.25" customFormat="1" customHeight="1" s="39">
      <c r="A127" s="45" t="inlineStr">
        <is>
          <t>16 Ga 8” Deep Track</t>
        </is>
      </c>
      <c r="B127" s="41" t="inlineStr">
        <is>
          <t>168dt</t>
        </is>
      </c>
      <c r="C127" s="44" t="inlineStr">
        <is>
          <t>?</t>
        </is>
      </c>
      <c r="D127" s="42" t="n"/>
      <c r="E127" s="41" t="inlineStr">
        <is>
          <t>168dt</t>
        </is>
      </c>
      <c r="F127" s="41">
        <f>A127</f>
        <v/>
      </c>
      <c r="G127" s="42" t="n"/>
      <c r="H127" s="41" t="inlineStr">
        <is>
          <t>168dt</t>
        </is>
      </c>
      <c r="I127" s="41" t="inlineStr">
        <is>
          <t>Lnft</t>
        </is>
      </c>
    </row>
    <row r="128" ht="21.25" customFormat="1" customHeight="1" s="39">
      <c r="A128" s="40" t="inlineStr">
        <is>
          <t>16 Ga 8” Slotted Track</t>
        </is>
      </c>
      <c r="B128" s="41" t="inlineStr">
        <is>
          <t>168st</t>
        </is>
      </c>
      <c r="C128" s="44" t="inlineStr">
        <is>
          <t>?</t>
        </is>
      </c>
      <c r="D128" s="42" t="n"/>
      <c r="E128" s="41" t="inlineStr">
        <is>
          <t>168st</t>
        </is>
      </c>
      <c r="F128" s="41">
        <f>A128</f>
        <v/>
      </c>
      <c r="G128" s="42" t="n"/>
      <c r="H128" s="41" t="inlineStr">
        <is>
          <t>168st</t>
        </is>
      </c>
      <c r="I128" s="41" t="inlineStr">
        <is>
          <t>Lnft</t>
        </is>
      </c>
    </row>
    <row r="129" ht="21.25" customFormat="1" customHeight="1" s="39">
      <c r="A129" s="40" t="n"/>
      <c r="B129" s="41" t="n"/>
      <c r="C129" s="44" t="n"/>
      <c r="D129" s="42" t="n"/>
      <c r="E129" s="41" t="n"/>
      <c r="F129" s="41">
        <f>A129</f>
        <v/>
      </c>
      <c r="G129" s="42" t="n"/>
      <c r="H129" s="41" t="n"/>
      <c r="I129" s="41" t="inlineStr">
        <is>
          <t>Lnft</t>
        </is>
      </c>
    </row>
    <row r="130" ht="21.25" customFormat="1" customHeight="1" s="39">
      <c r="A130" s="40" t="inlineStr">
        <is>
          <t>14 Ga 3 5/8” Std</t>
        </is>
      </c>
      <c r="B130" s="41" t="inlineStr">
        <is>
          <t>143s</t>
        </is>
      </c>
      <c r="C130" s="44" t="inlineStr">
        <is>
          <t>?</t>
        </is>
      </c>
      <c r="D130" s="42" t="n"/>
      <c r="E130" s="41" t="inlineStr">
        <is>
          <t>143s</t>
        </is>
      </c>
      <c r="F130" s="41">
        <f>A130</f>
        <v/>
      </c>
      <c r="G130" s="42" t="n"/>
      <c r="H130" s="41" t="inlineStr">
        <is>
          <t>143s</t>
        </is>
      </c>
      <c r="I130" s="41" t="inlineStr">
        <is>
          <t>Lnft</t>
        </is>
      </c>
    </row>
    <row r="131" ht="21.25" customFormat="1" customHeight="1" s="39">
      <c r="A131" s="40" t="inlineStr">
        <is>
          <t>14 Ga 3 5/8” Track</t>
        </is>
      </c>
      <c r="B131" s="41" t="inlineStr">
        <is>
          <t>143t</t>
        </is>
      </c>
      <c r="C131" s="44" t="inlineStr">
        <is>
          <t>?</t>
        </is>
      </c>
      <c r="D131" s="42" t="n"/>
      <c r="E131" s="41" t="inlineStr">
        <is>
          <t>143t</t>
        </is>
      </c>
      <c r="F131" s="41">
        <f>A131</f>
        <v/>
      </c>
      <c r="G131" s="42" t="n"/>
      <c r="H131" s="41" t="inlineStr">
        <is>
          <t>143t</t>
        </is>
      </c>
      <c r="I131" s="41" t="inlineStr">
        <is>
          <t>Lnft</t>
        </is>
      </c>
    </row>
    <row r="132" ht="21.25" customFormat="1" customHeight="1" s="39">
      <c r="A132" s="40" t="inlineStr">
        <is>
          <t>14 Ga 3 5/8” Deep Track</t>
        </is>
      </c>
      <c r="B132" s="41" t="inlineStr">
        <is>
          <t>143dt</t>
        </is>
      </c>
      <c r="C132" s="44" t="inlineStr">
        <is>
          <t>?</t>
        </is>
      </c>
      <c r="D132" s="42" t="n"/>
      <c r="E132" s="41" t="inlineStr">
        <is>
          <t>143dt</t>
        </is>
      </c>
      <c r="F132" s="41">
        <f>A132</f>
        <v/>
      </c>
      <c r="G132" s="42" t="n"/>
      <c r="H132" s="41" t="inlineStr">
        <is>
          <t>143dt</t>
        </is>
      </c>
      <c r="I132" s="41" t="inlineStr">
        <is>
          <t>Lnft</t>
        </is>
      </c>
    </row>
    <row r="133" ht="21.25" customFormat="1" customHeight="1" s="39">
      <c r="A133" s="40" t="inlineStr">
        <is>
          <t>14 Ga 3 5/8" Slotted Track</t>
        </is>
      </c>
      <c r="B133" s="41" t="inlineStr">
        <is>
          <t>143st</t>
        </is>
      </c>
      <c r="C133" s="44" t="inlineStr">
        <is>
          <t>?</t>
        </is>
      </c>
      <c r="D133" s="42" t="n"/>
      <c r="E133" s="41" t="inlineStr">
        <is>
          <t>143st</t>
        </is>
      </c>
      <c r="F133" s="41">
        <f>A133</f>
        <v/>
      </c>
      <c r="G133" s="42" t="n"/>
      <c r="H133" s="41" t="inlineStr">
        <is>
          <t>143st</t>
        </is>
      </c>
      <c r="I133" s="41" t="inlineStr">
        <is>
          <t>Lnft</t>
        </is>
      </c>
    </row>
    <row r="134" ht="21.25" customFormat="1" customHeight="1" s="39">
      <c r="A134" s="40" t="inlineStr">
        <is>
          <t>14 Ga 6" Stud</t>
        </is>
      </c>
      <c r="B134" s="41" t="inlineStr">
        <is>
          <t>146s</t>
        </is>
      </c>
      <c r="C134" s="44" t="inlineStr">
        <is>
          <t>?</t>
        </is>
      </c>
      <c r="D134" s="42" t="n"/>
      <c r="E134" s="41" t="inlineStr">
        <is>
          <t>146s</t>
        </is>
      </c>
      <c r="F134" s="41">
        <f>A134</f>
        <v/>
      </c>
      <c r="G134" s="42" t="n"/>
      <c r="H134" s="41" t="inlineStr">
        <is>
          <t>146s</t>
        </is>
      </c>
      <c r="I134" s="41" t="inlineStr">
        <is>
          <t>Lnft</t>
        </is>
      </c>
    </row>
    <row r="135" ht="21.25" customFormat="1" customHeight="1" s="39">
      <c r="A135" s="40" t="inlineStr">
        <is>
          <t>14 Ga 6” Track</t>
        </is>
      </c>
      <c r="B135" s="41" t="inlineStr">
        <is>
          <t>146t</t>
        </is>
      </c>
      <c r="C135" s="44" t="inlineStr">
        <is>
          <t>?</t>
        </is>
      </c>
      <c r="D135" s="42" t="n"/>
      <c r="E135" s="41" t="inlineStr">
        <is>
          <t>146t</t>
        </is>
      </c>
      <c r="F135" s="41">
        <f>A135</f>
        <v/>
      </c>
      <c r="G135" s="42" t="n"/>
      <c r="H135" s="41" t="inlineStr">
        <is>
          <t>146t</t>
        </is>
      </c>
      <c r="I135" s="41" t="inlineStr">
        <is>
          <t>Lnft</t>
        </is>
      </c>
    </row>
    <row r="136" ht="21.25" customFormat="1" customHeight="1" s="39">
      <c r="A136" s="40" t="inlineStr">
        <is>
          <t>14 Ga 6” Deep Track</t>
        </is>
      </c>
      <c r="B136" s="41" t="inlineStr">
        <is>
          <t>146dt</t>
        </is>
      </c>
      <c r="C136" s="44" t="inlineStr">
        <is>
          <t>?</t>
        </is>
      </c>
      <c r="D136" s="42" t="n"/>
      <c r="E136" s="41" t="inlineStr">
        <is>
          <t>146dt</t>
        </is>
      </c>
      <c r="F136" s="41">
        <f>A136</f>
        <v/>
      </c>
      <c r="G136" s="42" t="n"/>
      <c r="H136" s="41" t="inlineStr">
        <is>
          <t>146dt</t>
        </is>
      </c>
      <c r="I136" s="41" t="inlineStr">
        <is>
          <t>Lnft</t>
        </is>
      </c>
    </row>
    <row r="137" ht="21.25" customFormat="1" customHeight="1" s="39">
      <c r="A137" s="40" t="inlineStr">
        <is>
          <t>14 Ga 6” Slotted Track</t>
        </is>
      </c>
      <c r="B137" s="41" t="inlineStr">
        <is>
          <t>146st</t>
        </is>
      </c>
      <c r="C137" s="44" t="inlineStr">
        <is>
          <t>?</t>
        </is>
      </c>
      <c r="D137" s="42" t="n"/>
      <c r="E137" s="41" t="inlineStr">
        <is>
          <t>146st</t>
        </is>
      </c>
      <c r="F137" s="41">
        <f>A137</f>
        <v/>
      </c>
      <c r="G137" s="42" t="n"/>
      <c r="H137" s="41" t="inlineStr">
        <is>
          <t>146st</t>
        </is>
      </c>
      <c r="I137" s="41" t="inlineStr">
        <is>
          <t>Lnft</t>
        </is>
      </c>
    </row>
    <row r="138" ht="21.25" customFormat="1" customHeight="1" s="39">
      <c r="A138" s="40" t="inlineStr">
        <is>
          <t>14 Ga 8" Stud</t>
        </is>
      </c>
      <c r="B138" s="41" t="inlineStr">
        <is>
          <t>148s</t>
        </is>
      </c>
      <c r="C138" s="44" t="inlineStr">
        <is>
          <t>?</t>
        </is>
      </c>
      <c r="D138" s="42" t="n"/>
      <c r="E138" s="41" t="inlineStr">
        <is>
          <t>148s</t>
        </is>
      </c>
      <c r="F138" s="41">
        <f>A138</f>
        <v/>
      </c>
      <c r="G138" s="42" t="n"/>
      <c r="H138" s="41" t="inlineStr">
        <is>
          <t>148s</t>
        </is>
      </c>
      <c r="I138" s="41" t="inlineStr">
        <is>
          <t>Lnft</t>
        </is>
      </c>
    </row>
    <row r="139" ht="21.25" customFormat="1" customHeight="1" s="39">
      <c r="A139" s="40" t="inlineStr">
        <is>
          <t>14 Ga 8” Track</t>
        </is>
      </c>
      <c r="B139" s="41" t="inlineStr">
        <is>
          <t>148t</t>
        </is>
      </c>
      <c r="C139" s="44" t="inlineStr">
        <is>
          <t>?</t>
        </is>
      </c>
      <c r="D139" s="42" t="n"/>
      <c r="E139" s="41" t="inlineStr">
        <is>
          <t>148t</t>
        </is>
      </c>
      <c r="F139" s="41">
        <f>A139</f>
        <v/>
      </c>
      <c r="G139" s="42" t="n"/>
      <c r="H139" s="41" t="inlineStr">
        <is>
          <t>148t</t>
        </is>
      </c>
      <c r="I139" s="41" t="inlineStr">
        <is>
          <t>Lnft</t>
        </is>
      </c>
    </row>
    <row r="140" ht="21.25" customFormat="1" customHeight="1" s="39">
      <c r="A140" s="40" t="inlineStr">
        <is>
          <t>14 Ga 8” Deep Track</t>
        </is>
      </c>
      <c r="B140" s="41" t="inlineStr">
        <is>
          <t>148dt</t>
        </is>
      </c>
      <c r="C140" s="42" t="inlineStr">
        <is>
          <t>?</t>
        </is>
      </c>
      <c r="D140" s="42" t="n"/>
      <c r="E140" s="41" t="inlineStr">
        <is>
          <t>148dt</t>
        </is>
      </c>
      <c r="F140" s="41">
        <f>A140</f>
        <v/>
      </c>
      <c r="G140" s="42" t="n"/>
      <c r="H140" s="41" t="inlineStr">
        <is>
          <t>148dt</t>
        </is>
      </c>
      <c r="I140" s="41" t="inlineStr">
        <is>
          <t>Lnft</t>
        </is>
      </c>
    </row>
    <row r="141" ht="21.25" customFormat="1" customHeight="1" s="39">
      <c r="A141" s="40" t="inlineStr">
        <is>
          <t>14 Ga 8” Slotted Track</t>
        </is>
      </c>
      <c r="B141" s="41" t="inlineStr">
        <is>
          <t>148st</t>
        </is>
      </c>
      <c r="C141" s="44" t="inlineStr">
        <is>
          <t>?</t>
        </is>
      </c>
      <c r="D141" s="42" t="n"/>
      <c r="E141" s="41" t="inlineStr">
        <is>
          <t>148st</t>
        </is>
      </c>
      <c r="F141" s="41">
        <f>A141</f>
        <v/>
      </c>
      <c r="G141" s="42" t="n"/>
      <c r="H141" s="41" t="inlineStr">
        <is>
          <t>148st</t>
        </is>
      </c>
      <c r="I141" s="41" t="inlineStr">
        <is>
          <t>Lnft</t>
        </is>
      </c>
    </row>
    <row r="142" ht="21.25" customFormat="1" customHeight="1" s="39">
      <c r="A142" s="40" t="n"/>
      <c r="B142" s="41" t="n"/>
      <c r="C142" s="44" t="n"/>
      <c r="D142" s="42" t="n"/>
      <c r="E142" s="41" t="n"/>
      <c r="F142" s="41">
        <f>A142</f>
        <v/>
      </c>
      <c r="G142" s="42" t="n"/>
      <c r="H142" s="41" t="n"/>
      <c r="I142" s="41" t="n"/>
    </row>
    <row r="143" ht="21.25" customFormat="1" customHeight="1" s="39">
      <c r="A143" s="40" t="n"/>
      <c r="B143" s="41" t="n"/>
      <c r="C143" s="44" t="n"/>
      <c r="D143" s="42" t="n"/>
      <c r="E143" s="41" t="n">
        <v>0</v>
      </c>
      <c r="F143" s="41">
        <f>A143</f>
        <v/>
      </c>
      <c r="G143" s="42" t="n"/>
      <c r="H143" s="41" t="n">
        <v>0</v>
      </c>
      <c r="I143" s="41" t="inlineStr">
        <is>
          <t>Lnft</t>
        </is>
      </c>
    </row>
    <row r="144" ht="21.25" customFormat="1" customHeight="1" s="39">
      <c r="A144" s="41" t="inlineStr">
        <is>
          <t>16 Ga 	3/4” Carring Channel</t>
        </is>
      </c>
      <c r="B144" s="41" t="inlineStr">
        <is>
          <t>34cc</t>
        </is>
      </c>
      <c r="C144" s="44" t="n">
        <v>0.55</v>
      </c>
      <c r="D144" s="42" t="n"/>
      <c r="E144" s="41" t="inlineStr">
        <is>
          <t>34cc</t>
        </is>
      </c>
      <c r="F144" s="41">
        <f>A144</f>
        <v/>
      </c>
      <c r="G144" s="42" t="n"/>
      <c r="H144" s="41" t="inlineStr">
        <is>
          <t>34cc</t>
        </is>
      </c>
      <c r="I144" s="41" t="inlineStr">
        <is>
          <t>Lnft</t>
        </is>
      </c>
    </row>
    <row r="145" ht="21.25" customFormat="1" customHeight="1" s="39">
      <c r="A145" s="41" t="inlineStr">
        <is>
          <t>18 Ga 	1 1/2” Carring Channel</t>
        </is>
      </c>
      <c r="B145" s="41" t="inlineStr">
        <is>
          <t>18cc</t>
        </is>
      </c>
      <c r="C145" s="44" t="n">
        <v>0.675</v>
      </c>
      <c r="D145" s="42" t="n"/>
      <c r="E145" s="41" t="inlineStr">
        <is>
          <t>18cc</t>
        </is>
      </c>
      <c r="F145" s="41">
        <f>A145</f>
        <v/>
      </c>
      <c r="G145" s="42" t="n"/>
      <c r="H145" s="41" t="inlineStr">
        <is>
          <t>18cc</t>
        </is>
      </c>
      <c r="I145" s="41" t="inlineStr">
        <is>
          <t>Lnft</t>
        </is>
      </c>
    </row>
    <row r="146" ht="21.25" customFormat="1" customHeight="1" s="39">
      <c r="A146" s="41" t="inlineStr">
        <is>
          <t>16 Ga	1 1/2” Carring Channel</t>
        </is>
      </c>
      <c r="B146" s="41" t="inlineStr">
        <is>
          <t>16cc</t>
        </is>
      </c>
      <c r="C146" s="44" t="n">
        <v>0.825</v>
      </c>
      <c r="D146" s="42" t="n"/>
      <c r="E146" s="41" t="inlineStr">
        <is>
          <t>16cc</t>
        </is>
      </c>
      <c r="F146" s="41">
        <f>A146</f>
        <v/>
      </c>
      <c r="G146" s="42" t="n"/>
      <c r="H146" s="41" t="inlineStr">
        <is>
          <t>16cc</t>
        </is>
      </c>
      <c r="I146" s="41" t="inlineStr">
        <is>
          <t>Lnft</t>
        </is>
      </c>
    </row>
    <row r="147" ht="21.25" customFormat="1" customHeight="1" s="39">
      <c r="A147" s="41" t="n"/>
      <c r="B147" s="41" t="n"/>
      <c r="C147" s="44" t="n"/>
      <c r="D147" s="42" t="n"/>
      <c r="E147" s="41" t="n"/>
      <c r="F147" s="41">
        <f>A147</f>
        <v/>
      </c>
      <c r="G147" s="42" t="n"/>
      <c r="H147" s="41" t="n"/>
      <c r="I147" s="41" t="inlineStr">
        <is>
          <t>Lnft</t>
        </is>
      </c>
    </row>
    <row r="148" ht="21.25" customFormat="1" customHeight="1" s="39">
      <c r="A148" s="41" t="inlineStr">
        <is>
          <t>25 Ga 	Resilient Channel</t>
        </is>
      </c>
      <c r="B148" s="41" t="inlineStr">
        <is>
          <t>RC</t>
        </is>
      </c>
      <c r="C148" s="44" t="n">
        <v>0.34</v>
      </c>
      <c r="D148" s="42" t="n"/>
      <c r="E148" s="41" t="inlineStr">
        <is>
          <t>RC</t>
        </is>
      </c>
      <c r="F148" s="41">
        <f>A148</f>
        <v/>
      </c>
      <c r="G148" s="42" t="n"/>
      <c r="H148" s="41" t="inlineStr">
        <is>
          <t>RC</t>
        </is>
      </c>
      <c r="I148" s="41" t="inlineStr">
        <is>
          <t>Lnft</t>
        </is>
      </c>
    </row>
    <row r="149" ht="21.25" customFormat="1" customHeight="1" s="39">
      <c r="A149" s="41" t="inlineStr">
        <is>
          <t>25 Ga 	7/8” Hat Track</t>
        </is>
      </c>
      <c r="B149" s="41" t="inlineStr">
        <is>
          <t>25ht</t>
        </is>
      </c>
      <c r="C149" s="44" t="n">
        <v>0.435</v>
      </c>
      <c r="D149" s="42" t="n"/>
      <c r="E149" s="41" t="inlineStr">
        <is>
          <t>25ht</t>
        </is>
      </c>
      <c r="F149" s="41">
        <f>A149</f>
        <v/>
      </c>
      <c r="G149" s="42" t="n"/>
      <c r="H149" s="41" t="inlineStr">
        <is>
          <t>25ht</t>
        </is>
      </c>
      <c r="I149" s="41" t="inlineStr">
        <is>
          <t>Lnft</t>
        </is>
      </c>
    </row>
    <row r="150" ht="21.25" customFormat="1" customHeight="1" s="39">
      <c r="A150" s="41" t="inlineStr">
        <is>
          <t>20 Ga 	7/8” Hat Track</t>
        </is>
      </c>
      <c r="B150" s="41" t="inlineStr">
        <is>
          <t>20ht</t>
        </is>
      </c>
      <c r="C150" s="44" t="n">
        <v>0.835</v>
      </c>
      <c r="D150" s="42" t="n"/>
      <c r="E150" s="41" t="inlineStr">
        <is>
          <t>20ht</t>
        </is>
      </c>
      <c r="F150" s="41">
        <f>A150</f>
        <v/>
      </c>
      <c r="G150" s="42" t="n"/>
      <c r="H150" s="41" t="inlineStr">
        <is>
          <t>20ht</t>
        </is>
      </c>
      <c r="I150" s="41" t="inlineStr">
        <is>
          <t>Lnft</t>
        </is>
      </c>
    </row>
    <row r="151" ht="21.25" customFormat="1" customHeight="1" s="39">
      <c r="A151" s="41" t="inlineStr">
        <is>
          <t>18 Ga 	7/8” Hat Track</t>
        </is>
      </c>
      <c r="B151" s="41" t="inlineStr">
        <is>
          <t>18ht</t>
        </is>
      </c>
      <c r="C151" s="44" t="n">
        <v>1.295</v>
      </c>
      <c r="D151" s="42" t="n"/>
      <c r="E151" s="41" t="inlineStr">
        <is>
          <t>18ht</t>
        </is>
      </c>
      <c r="F151" s="41">
        <f>A151</f>
        <v/>
      </c>
      <c r="G151" s="42" t="n"/>
      <c r="H151" s="41" t="inlineStr">
        <is>
          <t>18ht</t>
        </is>
      </c>
      <c r="I151" s="41" t="inlineStr">
        <is>
          <t>Lnft</t>
        </is>
      </c>
    </row>
    <row r="152" ht="21.25" customFormat="1" customHeight="1" s="39">
      <c r="A152" s="41" t="inlineStr">
        <is>
          <t>25 Ga 	1 1/2” Angle</t>
        </is>
      </c>
      <c r="B152" s="41" t="inlineStr">
        <is>
          <t>251a</t>
        </is>
      </c>
      <c r="C152" s="44" t="n">
        <v>0.37</v>
      </c>
      <c r="D152" s="42" t="n"/>
      <c r="E152" s="41" t="inlineStr">
        <is>
          <t>251a</t>
        </is>
      </c>
      <c r="F152" s="41">
        <f>A152</f>
        <v/>
      </c>
      <c r="G152" s="42" t="n"/>
      <c r="H152" s="41" t="inlineStr">
        <is>
          <t>251a</t>
        </is>
      </c>
      <c r="I152" s="41" t="inlineStr">
        <is>
          <t>Lnft</t>
        </is>
      </c>
    </row>
    <row r="153" ht="21.25" customFormat="1" customHeight="1" s="39">
      <c r="A153" s="41" t="inlineStr">
        <is>
          <t>25 Ga 	2” Angle</t>
        </is>
      </c>
      <c r="B153" s="41" t="inlineStr">
        <is>
          <t>252a</t>
        </is>
      </c>
      <c r="C153" s="44" t="n">
        <v>0.5</v>
      </c>
      <c r="D153" s="42" t="n"/>
      <c r="E153" s="41" t="inlineStr">
        <is>
          <t>252a</t>
        </is>
      </c>
      <c r="F153" s="41">
        <f>A153</f>
        <v/>
      </c>
      <c r="G153" s="42" t="n"/>
      <c r="H153" s="41" t="inlineStr">
        <is>
          <t>252a</t>
        </is>
      </c>
      <c r="I153" s="41" t="inlineStr">
        <is>
          <t>Lnft</t>
        </is>
      </c>
    </row>
    <row r="154" ht="21.25" customFormat="1" customHeight="1" s="39">
      <c r="A154" s="41" t="inlineStr">
        <is>
          <t>20 Ga 	1 1/2” Angle</t>
        </is>
      </c>
      <c r="B154" s="41" t="inlineStr">
        <is>
          <t>201a</t>
        </is>
      </c>
      <c r="C154" s="44" t="n">
        <v>0.695</v>
      </c>
      <c r="D154" s="42" t="n"/>
      <c r="E154" s="41" t="inlineStr">
        <is>
          <t>201a</t>
        </is>
      </c>
      <c r="F154" s="41">
        <f>A154</f>
        <v/>
      </c>
      <c r="G154" s="42" t="n"/>
      <c r="H154" s="41" t="inlineStr">
        <is>
          <t>201a</t>
        </is>
      </c>
      <c r="I154" s="41" t="inlineStr">
        <is>
          <t>Lnft</t>
        </is>
      </c>
    </row>
    <row r="155" ht="21.25" customFormat="1" customHeight="1" s="39">
      <c r="A155" s="41" t="inlineStr">
        <is>
          <t>20 Ga 	2” Angle</t>
        </is>
      </c>
      <c r="B155" s="41" t="inlineStr">
        <is>
          <t>202a</t>
        </is>
      </c>
      <c r="C155" s="44" t="n">
        <v>0.885</v>
      </c>
      <c r="D155" s="42" t="n"/>
      <c r="E155" s="41" t="inlineStr">
        <is>
          <t>202a</t>
        </is>
      </c>
      <c r="F155" s="41">
        <f>A155</f>
        <v/>
      </c>
      <c r="G155" s="42" t="n"/>
      <c r="H155" s="41" t="inlineStr">
        <is>
          <t>202a</t>
        </is>
      </c>
      <c r="I155" s="41" t="inlineStr">
        <is>
          <t>Lnft</t>
        </is>
      </c>
    </row>
    <row r="156" ht="21.25" customFormat="1" customHeight="1" s="39">
      <c r="A156" s="41" t="inlineStr">
        <is>
          <t>20 Ga 	3” Angle</t>
        </is>
      </c>
      <c r="B156" s="41" t="inlineStr">
        <is>
          <t>203a</t>
        </is>
      </c>
      <c r="C156" s="44" t="n">
        <v>2.05</v>
      </c>
      <c r="D156" s="42" t="n"/>
      <c r="E156" s="41" t="inlineStr">
        <is>
          <t>203a</t>
        </is>
      </c>
      <c r="F156" s="41">
        <f>A156</f>
        <v/>
      </c>
      <c r="G156" s="42" t="n"/>
      <c r="H156" s="41" t="inlineStr">
        <is>
          <t>203a</t>
        </is>
      </c>
      <c r="I156" s="41" t="inlineStr">
        <is>
          <t>Lnft</t>
        </is>
      </c>
    </row>
    <row r="157" ht="21.25" customFormat="1" customHeight="1" s="39">
      <c r="A157" s="41" t="inlineStr">
        <is>
          <t>18 Ga 	1 1/2” Angle</t>
        </is>
      </c>
      <c r="B157" s="41" t="inlineStr">
        <is>
          <t>181a</t>
        </is>
      </c>
      <c r="C157" s="44" t="n">
        <v>1.304</v>
      </c>
      <c r="D157" s="42" t="n"/>
      <c r="E157" s="41" t="inlineStr">
        <is>
          <t>181a</t>
        </is>
      </c>
      <c r="F157" s="41">
        <f>A157</f>
        <v/>
      </c>
      <c r="G157" s="42" t="n"/>
      <c r="H157" s="41" t="inlineStr">
        <is>
          <t>181a</t>
        </is>
      </c>
      <c r="I157" s="41" t="inlineStr">
        <is>
          <t>Lnft</t>
        </is>
      </c>
    </row>
    <row r="158" ht="21.25" customFormat="1" customHeight="1" s="39">
      <c r="A158" s="41" t="inlineStr">
        <is>
          <t>18 Ga 	2” Angle</t>
        </is>
      </c>
      <c r="B158" s="41" t="inlineStr">
        <is>
          <t>182a</t>
        </is>
      </c>
      <c r="C158" s="44" t="n">
        <v>1.469</v>
      </c>
      <c r="D158" s="42" t="n"/>
      <c r="E158" s="41" t="inlineStr">
        <is>
          <t>182a</t>
        </is>
      </c>
      <c r="F158" s="41">
        <f>A158</f>
        <v/>
      </c>
      <c r="G158" s="42" t="n"/>
      <c r="H158" s="41" t="inlineStr">
        <is>
          <t>182a</t>
        </is>
      </c>
      <c r="I158" s="41" t="inlineStr">
        <is>
          <t>Lnft</t>
        </is>
      </c>
    </row>
    <row r="159" ht="21.25" customFormat="1" customHeight="1" s="39">
      <c r="A159" s="41" t="inlineStr">
        <is>
          <t>18 Ga 	3” Angle</t>
        </is>
      </c>
      <c r="B159" s="41" t="inlineStr">
        <is>
          <t>183a</t>
        </is>
      </c>
      <c r="C159" s="44" t="n">
        <v>3.1</v>
      </c>
      <c r="D159" s="42" t="n"/>
      <c r="E159" s="41" t="inlineStr">
        <is>
          <t>183a</t>
        </is>
      </c>
      <c r="F159" s="41">
        <f>A159</f>
        <v/>
      </c>
      <c r="G159" s="42" t="n"/>
      <c r="H159" s="41" t="inlineStr">
        <is>
          <t>183a</t>
        </is>
      </c>
      <c r="I159" s="41" t="inlineStr">
        <is>
          <t>Lnft</t>
        </is>
      </c>
    </row>
    <row r="160" ht="21.25" customFormat="1" customHeight="1" s="39">
      <c r="A160" s="41" t="inlineStr">
        <is>
          <t>25 Ga 	1” x 1” 1/2” Z-Bar</t>
        </is>
      </c>
      <c r="B160" s="41" t="inlineStr">
        <is>
          <t>251x1z</t>
        </is>
      </c>
      <c r="C160" s="44" t="inlineStr">
        <is>
          <t>?</t>
        </is>
      </c>
      <c r="D160" s="42" t="n"/>
      <c r="E160" s="41" t="inlineStr">
        <is>
          <t>251x1z</t>
        </is>
      </c>
      <c r="F160" s="41">
        <f>A160</f>
        <v/>
      </c>
      <c r="G160" s="42" t="n"/>
      <c r="H160" s="41" t="inlineStr">
        <is>
          <t>251x1z</t>
        </is>
      </c>
      <c r="I160" s="41" t="inlineStr">
        <is>
          <t>Lnft</t>
        </is>
      </c>
    </row>
    <row r="161" ht="21.25" customFormat="1" customHeight="1" s="39">
      <c r="A161" s="41" t="inlineStr">
        <is>
          <t>25 Ga 	1” x 2” Z-BAr</t>
        </is>
      </c>
      <c r="B161" s="41" t="inlineStr">
        <is>
          <t>251x2z</t>
        </is>
      </c>
      <c r="C161" s="44" t="inlineStr">
        <is>
          <t>?</t>
        </is>
      </c>
      <c r="D161" s="42" t="n"/>
      <c r="E161" s="41" t="inlineStr">
        <is>
          <t>251x2z</t>
        </is>
      </c>
      <c r="F161" s="41">
        <f>A161</f>
        <v/>
      </c>
      <c r="G161" s="42" t="n"/>
      <c r="H161" s="41" t="inlineStr">
        <is>
          <t>251x2z</t>
        </is>
      </c>
      <c r="I161" s="41" t="inlineStr">
        <is>
          <t>Lnft</t>
        </is>
      </c>
    </row>
    <row r="162" ht="21.25" customFormat="1" customHeight="1" s="39">
      <c r="A162" s="41" t="inlineStr">
        <is>
          <t>20 Ga 	1” x 1” 1/2” Z-Bar</t>
        </is>
      </c>
      <c r="B162" s="41" t="inlineStr">
        <is>
          <t>201x1z</t>
        </is>
      </c>
      <c r="C162" s="44" t="inlineStr">
        <is>
          <t>?</t>
        </is>
      </c>
      <c r="D162" s="42" t="n"/>
      <c r="E162" s="41" t="inlineStr">
        <is>
          <t>201x1z</t>
        </is>
      </c>
      <c r="F162" s="41">
        <f>A162</f>
        <v/>
      </c>
      <c r="G162" s="42" t="n"/>
      <c r="H162" s="41" t="inlineStr">
        <is>
          <t>201x1z</t>
        </is>
      </c>
      <c r="I162" s="41" t="inlineStr">
        <is>
          <t>Lnft</t>
        </is>
      </c>
    </row>
    <row r="163" ht="21.25" customFormat="1" customHeight="1" s="39">
      <c r="A163" s="41" t="inlineStr">
        <is>
          <t>20 Ga 	1” x 2” Z-BAr</t>
        </is>
      </c>
      <c r="B163" s="41" t="inlineStr">
        <is>
          <t>201x2z</t>
        </is>
      </c>
      <c r="C163" s="44" t="inlineStr">
        <is>
          <t>?</t>
        </is>
      </c>
      <c r="D163" s="42" t="n"/>
      <c r="E163" s="41" t="inlineStr">
        <is>
          <t>201x2z</t>
        </is>
      </c>
      <c r="F163" s="41">
        <f>A163</f>
        <v/>
      </c>
      <c r="G163" s="42" t="n"/>
      <c r="H163" s="41" t="inlineStr">
        <is>
          <t>201x2z</t>
        </is>
      </c>
      <c r="I163" s="41" t="inlineStr">
        <is>
          <t>Lnft</t>
        </is>
      </c>
    </row>
    <row r="164" ht="21.25" customFormat="1" customHeight="1" s="39">
      <c r="A164" s="41" t="inlineStr">
        <is>
          <t>20 Ga 	2” Flatstock</t>
        </is>
      </c>
      <c r="B164" s="41" t="inlineStr">
        <is>
          <t>202fs</t>
        </is>
      </c>
      <c r="C164" s="42" t="n">
        <v>0.615</v>
      </c>
      <c r="D164" s="42" t="n"/>
      <c r="E164" s="41" t="inlineStr">
        <is>
          <t>202fs</t>
        </is>
      </c>
      <c r="F164" s="41">
        <f>A164</f>
        <v/>
      </c>
      <c r="G164" s="42" t="n"/>
      <c r="H164" s="41" t="inlineStr">
        <is>
          <t>202fs</t>
        </is>
      </c>
      <c r="I164" s="41" t="inlineStr">
        <is>
          <t>Lnft</t>
        </is>
      </c>
    </row>
    <row r="165" ht="21.25" customFormat="1" customHeight="1" s="39">
      <c r="A165" s="41" t="inlineStr">
        <is>
          <t>20 Ga 	4” Flatstock</t>
        </is>
      </c>
      <c r="B165" s="41" t="inlineStr">
        <is>
          <t>204fs</t>
        </is>
      </c>
      <c r="C165" s="44" t="n">
        <v>0.925</v>
      </c>
      <c r="D165" s="42" t="n"/>
      <c r="E165" s="41" t="inlineStr">
        <is>
          <t>204fs</t>
        </is>
      </c>
      <c r="F165" s="41">
        <f>A165</f>
        <v/>
      </c>
      <c r="G165" s="42" t="n"/>
      <c r="H165" s="41" t="inlineStr">
        <is>
          <t>204fs</t>
        </is>
      </c>
      <c r="I165" s="41" t="inlineStr">
        <is>
          <t>Lnft</t>
        </is>
      </c>
    </row>
    <row r="166" ht="21.25" customFormat="1" customHeight="1" s="39">
      <c r="A166" s="41" t="inlineStr">
        <is>
          <t>20 Ga 	6” Flatstock</t>
        </is>
      </c>
      <c r="B166" s="41" t="inlineStr">
        <is>
          <t>206fs</t>
        </is>
      </c>
      <c r="C166" s="42" t="n">
        <v>2.409</v>
      </c>
      <c r="D166" s="42" t="n"/>
      <c r="E166" s="41" t="inlineStr">
        <is>
          <t>206fs</t>
        </is>
      </c>
      <c r="F166" s="41">
        <f>A166</f>
        <v/>
      </c>
      <c r="G166" s="42" t="n"/>
      <c r="H166" s="41" t="inlineStr">
        <is>
          <t>206fs</t>
        </is>
      </c>
      <c r="I166" s="41" t="inlineStr">
        <is>
          <t>Lnft</t>
        </is>
      </c>
    </row>
    <row r="167" ht="21.25" customFormat="1" customHeight="1" s="39">
      <c r="A167" s="41" t="inlineStr">
        <is>
          <t>18 Ga 	2” Flatstock</t>
        </is>
      </c>
      <c r="B167" s="41" t="inlineStr">
        <is>
          <t>182fs</t>
        </is>
      </c>
      <c r="C167" s="44" t="n"/>
      <c r="D167" s="42" t="n"/>
      <c r="E167" s="41" t="inlineStr">
        <is>
          <t>182fs</t>
        </is>
      </c>
      <c r="F167" s="41">
        <f>A167</f>
        <v/>
      </c>
      <c r="G167" s="42" t="n"/>
      <c r="H167" s="41" t="inlineStr">
        <is>
          <t>182fs</t>
        </is>
      </c>
      <c r="I167" s="41" t="inlineStr">
        <is>
          <t>Lnft</t>
        </is>
      </c>
    </row>
    <row r="168" ht="21.25" customFormat="1" customHeight="1" s="39">
      <c r="A168" s="41" t="inlineStr">
        <is>
          <t>18 Ga 	4” Flatstock</t>
        </is>
      </c>
      <c r="B168" s="41" t="inlineStr">
        <is>
          <t>184fs</t>
        </is>
      </c>
      <c r="C168" s="42" t="n"/>
      <c r="D168" s="42" t="n"/>
      <c r="E168" s="41" t="inlineStr">
        <is>
          <t>184fs</t>
        </is>
      </c>
      <c r="F168" s="41">
        <f>A168</f>
        <v/>
      </c>
      <c r="G168" s="42" t="n"/>
      <c r="H168" s="41" t="inlineStr">
        <is>
          <t>184fs</t>
        </is>
      </c>
      <c r="I168" s="41" t="inlineStr">
        <is>
          <t>Lnft</t>
        </is>
      </c>
    </row>
    <row r="169" ht="19.5" customFormat="1" customHeight="1" s="39">
      <c r="A169" s="41" t="inlineStr">
        <is>
          <t>18 Ga 	6” Flatstock</t>
        </is>
      </c>
      <c r="B169" s="41" t="inlineStr">
        <is>
          <t>186fs</t>
        </is>
      </c>
      <c r="C169" s="44" t="n"/>
      <c r="D169" s="42" t="n"/>
      <c r="E169" s="41" t="inlineStr">
        <is>
          <t>186fs</t>
        </is>
      </c>
      <c r="F169" s="41">
        <f>A169</f>
        <v/>
      </c>
      <c r="G169" s="42" t="n"/>
      <c r="H169" s="41" t="inlineStr">
        <is>
          <t>186fs</t>
        </is>
      </c>
      <c r="I169" s="41" t="inlineStr">
        <is>
          <t>Lnft</t>
        </is>
      </c>
    </row>
    <row r="170" ht="21.25" customFormat="1" customHeight="1" s="39">
      <c r="A170" s="41" t="inlineStr">
        <is>
          <t>Hanger Wire</t>
        </is>
      </c>
      <c r="B170" s="41" t="inlineStr">
        <is>
          <t>HW</t>
        </is>
      </c>
      <c r="C170" s="42" t="n">
        <v>0.61</v>
      </c>
      <c r="D170" s="42" t="n"/>
      <c r="E170" s="41" t="inlineStr">
        <is>
          <t>HW</t>
        </is>
      </c>
      <c r="F170" s="41">
        <f>A170</f>
        <v/>
      </c>
      <c r="G170" s="42" t="n"/>
      <c r="H170" s="41" t="inlineStr">
        <is>
          <t>HW</t>
        </is>
      </c>
      <c r="I170" s="41" t="inlineStr">
        <is>
          <t>Lnft</t>
        </is>
      </c>
    </row>
    <row r="171" ht="21.25" customFormat="1" customHeight="1" s="39">
      <c r="A171" s="41" t="inlineStr">
        <is>
          <t>9 Ga Hanger Wire</t>
        </is>
      </c>
      <c r="B171" s="41" t="inlineStr">
        <is>
          <t>9GHW</t>
        </is>
      </c>
      <c r="C171" s="44" t="n">
        <v>0.275</v>
      </c>
      <c r="D171" s="42" t="n"/>
      <c r="E171" s="41" t="inlineStr">
        <is>
          <t>9GHW</t>
        </is>
      </c>
      <c r="F171" s="41">
        <f>A171</f>
        <v/>
      </c>
      <c r="G171" s="42" t="n"/>
      <c r="H171" s="41" t="inlineStr">
        <is>
          <t>9GHW</t>
        </is>
      </c>
      <c r="I171" s="41" t="inlineStr">
        <is>
          <t>Lnft</t>
        </is>
      </c>
    </row>
    <row r="172" ht="21.25" customFormat="1" customHeight="1" s="39">
      <c r="A172" s="41" t="inlineStr">
        <is>
          <t>Pencil Rod</t>
        </is>
      </c>
      <c r="B172" s="41" t="inlineStr">
        <is>
          <t>Pr</t>
        </is>
      </c>
      <c r="C172" s="44" t="n">
        <v>0.187</v>
      </c>
      <c r="D172" s="42" t="n"/>
      <c r="E172" s="41" t="inlineStr">
        <is>
          <t>Pr</t>
        </is>
      </c>
      <c r="F172" s="41">
        <f>A172</f>
        <v/>
      </c>
      <c r="G172" s="42" t="n"/>
      <c r="H172" s="41" t="inlineStr">
        <is>
          <t>Pr</t>
        </is>
      </c>
      <c r="I172" s="41" t="inlineStr">
        <is>
          <t>Lnft</t>
        </is>
      </c>
    </row>
    <row r="173" ht="21.25" customFormat="1" customHeight="1" s="39">
      <c r="A173" s="41" t="inlineStr">
        <is>
          <t>Tie Wire</t>
        </is>
      </c>
      <c r="B173" s="41" t="inlineStr">
        <is>
          <t>Tw</t>
        </is>
      </c>
      <c r="C173" s="44" t="n">
        <v>0.2</v>
      </c>
      <c r="D173" s="42" t="n"/>
      <c r="E173" s="41" t="inlineStr">
        <is>
          <t>Tw</t>
        </is>
      </c>
      <c r="F173" s="41">
        <f>A173</f>
        <v/>
      </c>
      <c r="G173" s="42" t="n"/>
      <c r="H173" s="41" t="inlineStr">
        <is>
          <t>Tw</t>
        </is>
      </c>
      <c r="I173" s="41" t="inlineStr">
        <is>
          <t>Lnft</t>
        </is>
      </c>
    </row>
    <row r="174" ht="21.25" customFormat="1" customHeight="1" s="39">
      <c r="A174" s="41" t="inlineStr">
        <is>
          <t>Wood Backing</t>
        </is>
      </c>
      <c r="B174" s="41" t="inlineStr">
        <is>
          <t>Wb</t>
        </is>
      </c>
      <c r="C174" s="44" t="n">
        <v>0.25</v>
      </c>
      <c r="D174" s="42" t="n"/>
      <c r="E174" s="41" t="inlineStr">
        <is>
          <t>Wb</t>
        </is>
      </c>
      <c r="F174" s="41">
        <f>A174</f>
        <v/>
      </c>
      <c r="G174" s="42" t="n"/>
      <c r="H174" s="41" t="inlineStr">
        <is>
          <t>Wb</t>
        </is>
      </c>
      <c r="I174" s="41" t="inlineStr">
        <is>
          <t>Lnft</t>
        </is>
      </c>
    </row>
    <row r="175" ht="21.25" customFormat="1" customHeight="1" s="39">
      <c r="A175" s="41" t="inlineStr">
        <is>
          <t>9 Ga Security Mesh</t>
        </is>
      </c>
      <c r="B175" s="41" t="inlineStr">
        <is>
          <t>SM</t>
        </is>
      </c>
      <c r="C175" s="44" t="n">
        <v>1.955</v>
      </c>
      <c r="D175" s="42" t="n"/>
      <c r="E175" s="41" t="inlineStr">
        <is>
          <t>SM</t>
        </is>
      </c>
      <c r="F175" s="41">
        <f>A175</f>
        <v/>
      </c>
      <c r="G175" s="42" t="n"/>
      <c r="H175" s="41" t="inlineStr">
        <is>
          <t>SM</t>
        </is>
      </c>
      <c r="I175" s="41" t="inlineStr">
        <is>
          <t>Lnft</t>
        </is>
      </c>
    </row>
    <row r="176" ht="21.25" customFormat="1" customHeight="1" s="39">
      <c r="A176" s="41" t="n"/>
      <c r="B176" s="41" t="n"/>
      <c r="C176" s="44" t="n"/>
      <c r="D176" s="42" t="n"/>
      <c r="E176" s="41" t="n"/>
      <c r="F176" s="41">
        <f>A176</f>
        <v/>
      </c>
      <c r="G176" s="42" t="n"/>
      <c r="H176" s="41" t="n"/>
      <c r="I176" s="41" t="inlineStr">
        <is>
          <t>Lnft</t>
        </is>
      </c>
    </row>
    <row r="177" ht="21.25" customFormat="1" customHeight="1" s="39">
      <c r="A177" s="41" t="inlineStr">
        <is>
          <t xml:space="preserve">25 Ga 	2 1/2” CT Stud </t>
        </is>
      </c>
      <c r="B177" s="41" t="inlineStr">
        <is>
          <t>252ct</t>
        </is>
      </c>
      <c r="C177" s="44" t="n">
        <v>2.373</v>
      </c>
      <c r="D177" s="42" t="n"/>
      <c r="E177" s="41" t="inlineStr">
        <is>
          <t>252ct</t>
        </is>
      </c>
      <c r="F177" s="41">
        <f>A177</f>
        <v/>
      </c>
      <c r="G177" s="42" t="n"/>
      <c r="H177" s="41" t="inlineStr">
        <is>
          <t>252ct</t>
        </is>
      </c>
      <c r="I177" s="41" t="inlineStr">
        <is>
          <t>Lnft</t>
        </is>
      </c>
    </row>
    <row r="178" ht="21.25" customFormat="1" customHeight="1" s="39">
      <c r="A178" s="41" t="inlineStr">
        <is>
          <t>25 Ga 	2 1/2” J Track</t>
        </is>
      </c>
      <c r="B178" s="41" t="inlineStr">
        <is>
          <t>252jt</t>
        </is>
      </c>
      <c r="C178" s="42" t="n">
        <v>1.147</v>
      </c>
      <c r="D178" s="42" t="n"/>
      <c r="E178" s="41" t="inlineStr">
        <is>
          <t>252jt</t>
        </is>
      </c>
      <c r="F178" s="41">
        <f>A178</f>
        <v/>
      </c>
      <c r="G178" s="42" t="n"/>
      <c r="H178" s="41" t="inlineStr">
        <is>
          <t>252jt</t>
        </is>
      </c>
      <c r="I178" s="41" t="inlineStr">
        <is>
          <t>Lnft</t>
        </is>
      </c>
    </row>
    <row r="179" ht="21.25" customFormat="1" customHeight="1" s="39">
      <c r="A179" s="41" t="inlineStr">
        <is>
          <t>25 Ga 	4” CT Stud</t>
        </is>
      </c>
      <c r="B179" s="41" t="inlineStr">
        <is>
          <t>254ct</t>
        </is>
      </c>
      <c r="C179" s="42" t="n">
        <v>2.82</v>
      </c>
      <c r="D179" s="42" t="n"/>
      <c r="E179" s="41" t="inlineStr">
        <is>
          <t>254ct</t>
        </is>
      </c>
      <c r="F179" s="41">
        <f>A179</f>
        <v/>
      </c>
      <c r="G179" s="42" t="n"/>
      <c r="H179" s="41" t="inlineStr">
        <is>
          <t>254ct</t>
        </is>
      </c>
      <c r="I179" s="41" t="inlineStr">
        <is>
          <t>Lnft</t>
        </is>
      </c>
    </row>
    <row r="180" ht="21.25" customFormat="1" customHeight="1" s="39">
      <c r="A180" s="41" t="inlineStr">
        <is>
          <t>25 Ga 	4” J Track</t>
        </is>
      </c>
      <c r="B180" s="41" t="inlineStr">
        <is>
          <t>254jt</t>
        </is>
      </c>
      <c r="C180" s="44" t="n">
        <v>1.448</v>
      </c>
      <c r="D180" s="42" t="n"/>
      <c r="E180" s="41" t="inlineStr">
        <is>
          <t>254jt</t>
        </is>
      </c>
      <c r="F180" s="41">
        <f>A180</f>
        <v/>
      </c>
      <c r="G180" s="42" t="n"/>
      <c r="H180" s="41" t="inlineStr">
        <is>
          <t>254jt</t>
        </is>
      </c>
      <c r="I180" s="41" t="inlineStr">
        <is>
          <t>Lnft</t>
        </is>
      </c>
    </row>
    <row r="181" ht="21.25" customFormat="1" customHeight="1" s="39">
      <c r="A181" s="41" t="inlineStr">
        <is>
          <t>25 Ga 	6” CT Stud</t>
        </is>
      </c>
      <c r="B181" s="41" t="inlineStr">
        <is>
          <t>256ct</t>
        </is>
      </c>
      <c r="C181" s="44" t="inlineStr">
        <is>
          <t>?</t>
        </is>
      </c>
      <c r="D181" s="42" t="n"/>
      <c r="E181" s="41" t="inlineStr">
        <is>
          <t>256ct</t>
        </is>
      </c>
      <c r="F181" s="41">
        <f>A181</f>
        <v/>
      </c>
      <c r="G181" s="42" t="n"/>
      <c r="H181" s="41" t="inlineStr">
        <is>
          <t>256ct</t>
        </is>
      </c>
      <c r="I181" s="41" t="inlineStr">
        <is>
          <t>Lnft</t>
        </is>
      </c>
    </row>
    <row r="182" ht="21.25" customFormat="1" customHeight="1" s="39">
      <c r="A182" s="41" t="inlineStr">
        <is>
          <t>25 Ga 	6” J Track</t>
        </is>
      </c>
      <c r="B182" s="41" t="inlineStr">
        <is>
          <t>256jt</t>
        </is>
      </c>
      <c r="C182" s="44" t="inlineStr">
        <is>
          <t>?</t>
        </is>
      </c>
      <c r="D182" s="42" t="n"/>
      <c r="E182" s="41" t="inlineStr">
        <is>
          <t>256jt</t>
        </is>
      </c>
      <c r="F182" s="41">
        <f>A182</f>
        <v/>
      </c>
      <c r="G182" s="42" t="n"/>
      <c r="H182" s="41" t="inlineStr">
        <is>
          <t>256jt</t>
        </is>
      </c>
      <c r="I182" s="41" t="inlineStr">
        <is>
          <t>Lnft</t>
        </is>
      </c>
    </row>
    <row r="183" ht="21.25" customFormat="1" customHeight="1" s="39">
      <c r="A183" s="41" t="inlineStr">
        <is>
          <t xml:space="preserve">20 Ga 	2 1/2” CT Stud </t>
        </is>
      </c>
      <c r="B183" s="41" t="inlineStr">
        <is>
          <t>202ct</t>
        </is>
      </c>
      <c r="C183" s="44" t="n">
        <v>3.847</v>
      </c>
      <c r="D183" s="42" t="n"/>
      <c r="E183" s="41" t="inlineStr">
        <is>
          <t>202ct</t>
        </is>
      </c>
      <c r="F183" s="41">
        <f>A183</f>
        <v/>
      </c>
      <c r="G183" s="42" t="n"/>
      <c r="H183" s="41" t="inlineStr">
        <is>
          <t>202ct</t>
        </is>
      </c>
      <c r="I183" s="41" t="inlineStr">
        <is>
          <t>Lnft</t>
        </is>
      </c>
    </row>
    <row r="184" ht="21.25" customFormat="1" customHeight="1" s="39">
      <c r="A184" s="41" t="inlineStr">
        <is>
          <t>20 Ga 	2 1/2” J Track</t>
        </is>
      </c>
      <c r="B184" s="41" t="inlineStr">
        <is>
          <t>202jt</t>
        </is>
      </c>
      <c r="C184" s="44" t="n">
        <v>1.98</v>
      </c>
      <c r="D184" s="42" t="n"/>
      <c r="E184" s="41" t="inlineStr">
        <is>
          <t>202jt</t>
        </is>
      </c>
      <c r="F184" s="41">
        <f>A184</f>
        <v/>
      </c>
      <c r="G184" s="42" t="n"/>
      <c r="H184" s="41" t="inlineStr">
        <is>
          <t>202jt</t>
        </is>
      </c>
      <c r="I184" s="41" t="inlineStr">
        <is>
          <t>Lnft</t>
        </is>
      </c>
    </row>
    <row r="185" ht="21.25" customFormat="1" customHeight="1" s="39">
      <c r="A185" s="41" t="inlineStr">
        <is>
          <t>20 Ga 	4” CT Stud</t>
        </is>
      </c>
      <c r="B185" s="41" t="inlineStr">
        <is>
          <t>204ct</t>
        </is>
      </c>
      <c r="C185" s="44" t="n">
        <v>4.677</v>
      </c>
      <c r="D185" s="42" t="n"/>
      <c r="E185" s="41" t="inlineStr">
        <is>
          <t>204ct</t>
        </is>
      </c>
      <c r="F185" s="41">
        <f>A185</f>
        <v/>
      </c>
      <c r="G185" s="42" t="n"/>
      <c r="H185" s="41" t="inlineStr">
        <is>
          <t>204ct</t>
        </is>
      </c>
      <c r="I185" s="41" t="inlineStr">
        <is>
          <t>Lnft</t>
        </is>
      </c>
    </row>
    <row r="186" ht="21.25" customFormat="1" customHeight="1" s="39">
      <c r="A186" s="41" t="inlineStr">
        <is>
          <t>20 Ga 	4” J Track</t>
        </is>
      </c>
      <c r="B186" s="41" t="inlineStr">
        <is>
          <t>204jt</t>
        </is>
      </c>
      <c r="C186" s="42" t="n">
        <v>2.88</v>
      </c>
      <c r="D186" s="42" t="n"/>
      <c r="E186" s="41" t="inlineStr">
        <is>
          <t>204jt</t>
        </is>
      </c>
      <c r="F186" s="41">
        <f>A186</f>
        <v/>
      </c>
      <c r="G186" s="42" t="n"/>
      <c r="H186" s="41" t="inlineStr">
        <is>
          <t>204jt</t>
        </is>
      </c>
      <c r="I186" s="41" t="inlineStr">
        <is>
          <t>Lnft</t>
        </is>
      </c>
    </row>
    <row r="187" ht="21.25" customFormat="1" customHeight="1" s="39">
      <c r="A187" s="41" t="inlineStr">
        <is>
          <t>20 Ga 	6” CT Stud</t>
        </is>
      </c>
      <c r="B187" s="41" t="inlineStr">
        <is>
          <t>206ct</t>
        </is>
      </c>
      <c r="C187" s="44" t="n">
        <v>4.686</v>
      </c>
      <c r="D187" s="42" t="n"/>
      <c r="E187" s="41" t="inlineStr">
        <is>
          <t>206ct</t>
        </is>
      </c>
      <c r="F187" s="41">
        <f>A187</f>
        <v/>
      </c>
      <c r="G187" s="42" t="n"/>
      <c r="H187" s="41" t="inlineStr">
        <is>
          <t>206ct</t>
        </is>
      </c>
      <c r="I187" s="41" t="inlineStr">
        <is>
          <t>Lnft</t>
        </is>
      </c>
    </row>
    <row r="188" ht="21.25" customFormat="1" customHeight="1" s="39">
      <c r="A188" s="41" t="inlineStr">
        <is>
          <t>20 Ga 	6” J Track</t>
        </is>
      </c>
      <c r="B188" s="41" t="inlineStr">
        <is>
          <t>206jt</t>
        </is>
      </c>
      <c r="C188" s="44" t="n">
        <v>2.805</v>
      </c>
      <c r="D188" s="42" t="n"/>
      <c r="E188" s="41" t="inlineStr">
        <is>
          <t>206jt</t>
        </is>
      </c>
      <c r="F188" s="41">
        <f>A188</f>
        <v/>
      </c>
      <c r="G188" s="42" t="n"/>
      <c r="H188" s="41" t="inlineStr">
        <is>
          <t>206jt</t>
        </is>
      </c>
      <c r="I188" s="41" t="inlineStr">
        <is>
          <t>Lnft</t>
        </is>
      </c>
    </row>
    <row r="189" ht="21.25" customFormat="1" customHeight="1" s="39">
      <c r="A189" s="41" t="n"/>
      <c r="B189" s="41" t="n"/>
      <c r="C189" s="44" t="n"/>
      <c r="D189" s="42" t="n"/>
      <c r="E189" s="41" t="n"/>
      <c r="F189" s="41">
        <f>A189</f>
        <v/>
      </c>
      <c r="G189" s="42" t="n"/>
      <c r="H189" s="41" t="n"/>
      <c r="I189" s="41" t="n"/>
    </row>
    <row r="190" ht="21.25" customFormat="1" customHeight="1" s="39">
      <c r="A190" s="41" t="n"/>
      <c r="B190" s="41" t="n"/>
      <c r="C190" s="44" t="n"/>
      <c r="D190" s="42" t="n"/>
      <c r="E190" s="41" t="n"/>
      <c r="F190" s="41">
        <f>A190</f>
        <v/>
      </c>
      <c r="G190" s="42" t="n"/>
      <c r="H190" s="41" t="n"/>
      <c r="I190" s="41" t="n"/>
    </row>
    <row r="191" ht="21.25" customFormat="1" customHeight="1" s="39">
      <c r="A191" s="41" t="n"/>
      <c r="B191" s="41" t="n"/>
      <c r="C191" s="44" t="n"/>
      <c r="D191" s="42" t="n"/>
      <c r="E191" s="41" t="n"/>
      <c r="F191" s="41">
        <f>A191</f>
        <v/>
      </c>
      <c r="G191" s="42" t="n"/>
      <c r="H191" s="41" t="n"/>
      <c r="I191" s="41" t="n"/>
    </row>
    <row r="192" ht="21.25" customFormat="1" customHeight="1" s="39">
      <c r="A192" s="41" t="inlineStr">
        <is>
          <t>Yellow Box</t>
        </is>
      </c>
      <c r="B192" s="41" t="inlineStr">
        <is>
          <t>mb</t>
        </is>
      </c>
      <c r="C192" s="44" t="n">
        <v>25</v>
      </c>
      <c r="D192" s="42" t="n"/>
      <c r="E192" s="41" t="inlineStr">
        <is>
          <t>mb</t>
        </is>
      </c>
      <c r="F192" s="41">
        <f>A192</f>
        <v/>
      </c>
      <c r="G192" s="42" t="n"/>
      <c r="H192" s="41" t="inlineStr">
        <is>
          <t>mb</t>
        </is>
      </c>
      <c r="I192" s="41" t="inlineStr">
        <is>
          <t>Box</t>
        </is>
      </c>
    </row>
    <row r="193" ht="21.25" customFormat="1" customHeight="1" s="39">
      <c r="A193" s="41" t="inlineStr">
        <is>
          <t>Yellow Pail</t>
        </is>
      </c>
      <c r="B193" s="41" t="inlineStr">
        <is>
          <t>mp</t>
        </is>
      </c>
      <c r="C193" s="42" t="n">
        <v>48</v>
      </c>
      <c r="D193" s="42" t="n"/>
      <c r="E193" s="41" t="inlineStr">
        <is>
          <t>mp</t>
        </is>
      </c>
      <c r="F193" s="41">
        <f>A193</f>
        <v/>
      </c>
      <c r="G193" s="42" t="n"/>
      <c r="H193" s="41" t="inlineStr">
        <is>
          <t>mp</t>
        </is>
      </c>
      <c r="I193" s="41" t="inlineStr">
        <is>
          <t>Pail</t>
        </is>
      </c>
    </row>
    <row r="194" ht="21.25" customFormat="1" customHeight="1" s="39">
      <c r="A194" s="41" t="n"/>
      <c r="B194" s="41" t="n"/>
      <c r="C194" s="42" t="n"/>
      <c r="D194" s="42" t="n"/>
      <c r="E194" s="41" t="n"/>
      <c r="F194" s="41">
        <f>A194</f>
        <v/>
      </c>
      <c r="G194" s="42" t="n"/>
      <c r="H194" s="41" t="n"/>
      <c r="I194" s="41" t="n"/>
    </row>
    <row r="195" ht="21.25" customFormat="1" customHeight="1" s="39">
      <c r="A195" s="41" t="inlineStr">
        <is>
          <t>Hamilton UtraFill</t>
        </is>
      </c>
      <c r="B195" s="41" t="inlineStr">
        <is>
          <t>huf</t>
        </is>
      </c>
      <c r="C195" s="44" t="n">
        <v>32.83</v>
      </c>
      <c r="D195" s="42" t="n"/>
      <c r="E195" s="41" t="inlineStr">
        <is>
          <t>huf</t>
        </is>
      </c>
      <c r="F195" s="41">
        <f>A195</f>
        <v/>
      </c>
      <c r="G195" s="42" t="n"/>
      <c r="H195" s="41" t="inlineStr">
        <is>
          <t>huf</t>
        </is>
      </c>
      <c r="I195" s="41" t="inlineStr">
        <is>
          <t>Lnft</t>
        </is>
      </c>
    </row>
    <row r="196" ht="21.25" customFormat="1" customHeight="1" s="39">
      <c r="A196" s="41" t="inlineStr">
        <is>
          <t>Hamilton UltraCeil</t>
        </is>
      </c>
      <c r="B196" s="41" t="inlineStr">
        <is>
          <t>huc</t>
        </is>
      </c>
      <c r="C196" s="44" t="n">
        <v>40</v>
      </c>
      <c r="D196" s="42" t="n"/>
      <c r="E196" s="41" t="inlineStr">
        <is>
          <t>huc</t>
        </is>
      </c>
      <c r="F196" s="41">
        <f>A196</f>
        <v/>
      </c>
      <c r="G196" s="42" t="n"/>
      <c r="H196" s="41" t="inlineStr">
        <is>
          <t>huc</t>
        </is>
      </c>
      <c r="I196" s="41" t="inlineStr">
        <is>
          <t>Lnft</t>
        </is>
      </c>
    </row>
    <row r="197" ht="21.25" customFormat="1" customHeight="1" s="39">
      <c r="A197" s="41" t="inlineStr">
        <is>
          <t>Paper Joint Tape Roll</t>
        </is>
      </c>
      <c r="B197" s="41" t="inlineStr">
        <is>
          <t>jt</t>
        </is>
      </c>
      <c r="C197" s="44" t="n">
        <v>10</v>
      </c>
      <c r="D197" s="42" t="n"/>
      <c r="E197" s="41" t="inlineStr">
        <is>
          <t>jt</t>
        </is>
      </c>
      <c r="F197" s="41">
        <f>A197</f>
        <v/>
      </c>
      <c r="G197" s="42" t="n"/>
      <c r="H197" s="41" t="inlineStr">
        <is>
          <t>jt</t>
        </is>
      </c>
      <c r="I197" s="41" t="inlineStr">
        <is>
          <t>Lnft</t>
        </is>
      </c>
    </row>
    <row r="198" ht="21.25" customFormat="1" customHeight="1" s="39">
      <c r="A198" s="41" t="inlineStr">
        <is>
          <t>Paper Corner Bead</t>
        </is>
      </c>
      <c r="B198" s="41" t="inlineStr">
        <is>
          <t>cb</t>
        </is>
      </c>
      <c r="C198" s="44" t="n">
        <v>0.43</v>
      </c>
      <c r="D198" s="42" t="n"/>
      <c r="E198" s="41" t="inlineStr">
        <is>
          <t>cb</t>
        </is>
      </c>
      <c r="F198" s="41">
        <f>A198</f>
        <v/>
      </c>
      <c r="G198" s="42" t="n"/>
      <c r="H198" s="41" t="inlineStr">
        <is>
          <t>cb</t>
        </is>
      </c>
      <c r="I198" s="41" t="inlineStr">
        <is>
          <t>Lnft</t>
        </is>
      </c>
    </row>
    <row r="199" ht="21.25" customFormat="1" customHeight="1" s="39">
      <c r="A199" s="41" t="inlineStr">
        <is>
          <t>Tear Away Bead</t>
        </is>
      </c>
      <c r="B199" s="41" t="inlineStr">
        <is>
          <t>ta</t>
        </is>
      </c>
      <c r="C199" s="44" t="n">
        <v>0.404</v>
      </c>
      <c r="D199" s="42" t="n"/>
      <c r="E199" s="41" t="inlineStr">
        <is>
          <t>ta</t>
        </is>
      </c>
      <c r="F199" s="41">
        <f>A199</f>
        <v/>
      </c>
      <c r="G199" s="42" t="n"/>
      <c r="H199" s="41" t="inlineStr">
        <is>
          <t>ta</t>
        </is>
      </c>
      <c r="I199" s="41" t="inlineStr">
        <is>
          <t>Lnft</t>
        </is>
      </c>
    </row>
    <row r="200" ht="21.25" customFormat="1" customHeight="1" s="39">
      <c r="A200" s="41" t="inlineStr">
        <is>
          <t>1/2” Paper L Bead</t>
        </is>
      </c>
      <c r="B200" s="41" t="inlineStr">
        <is>
          <t>12pl</t>
        </is>
      </c>
      <c r="C200" s="44" t="n">
        <v>0.5649999999999999</v>
      </c>
      <c r="D200" s="42" t="n"/>
      <c r="E200" s="41" t="inlineStr">
        <is>
          <t>12pl</t>
        </is>
      </c>
      <c r="F200" s="41">
        <f>A200</f>
        <v/>
      </c>
      <c r="G200" s="42" t="n"/>
      <c r="H200" s="41" t="inlineStr">
        <is>
          <t>12pl</t>
        </is>
      </c>
      <c r="I200" s="41" t="inlineStr">
        <is>
          <t>Lnft</t>
        </is>
      </c>
    </row>
    <row r="201" ht="21.25" customFormat="1" customHeight="1" s="39">
      <c r="A201" s="41" t="inlineStr">
        <is>
          <t>5/8” Paper L Bead</t>
        </is>
      </c>
      <c r="B201" s="41" t="inlineStr">
        <is>
          <t>58pl</t>
        </is>
      </c>
      <c r="C201" s="44" t="n">
        <v>0.5679999999999999</v>
      </c>
      <c r="D201" s="42" t="n"/>
      <c r="E201" s="41" t="inlineStr">
        <is>
          <t>58pl</t>
        </is>
      </c>
      <c r="F201" s="41">
        <f>A201</f>
        <v/>
      </c>
      <c r="G201" s="42" t="n"/>
      <c r="H201" s="41" t="inlineStr">
        <is>
          <t>58pl</t>
        </is>
      </c>
      <c r="I201" s="41" t="inlineStr">
        <is>
          <t>Lnft</t>
        </is>
      </c>
    </row>
    <row r="202" ht="21.25" customFormat="1" customHeight="1" s="39">
      <c r="A202" s="41" t="inlineStr">
        <is>
          <t>1/2” Plastic J Bead</t>
        </is>
      </c>
      <c r="B202" s="41" t="inlineStr">
        <is>
          <t>12pj</t>
        </is>
      </c>
      <c r="C202" s="44" t="n">
        <v>0.275</v>
      </c>
      <c r="D202" s="42" t="n"/>
      <c r="E202" s="41" t="inlineStr">
        <is>
          <t>12pj</t>
        </is>
      </c>
      <c r="F202" s="41">
        <f>A202</f>
        <v/>
      </c>
      <c r="G202" s="42" t="n"/>
      <c r="H202" s="41" t="inlineStr">
        <is>
          <t>12pj</t>
        </is>
      </c>
      <c r="I202" s="41" t="inlineStr">
        <is>
          <t>Lnft</t>
        </is>
      </c>
    </row>
    <row r="203" ht="21.25" customFormat="1" customHeight="1" s="39">
      <c r="A203" s="46" t="inlineStr">
        <is>
          <t>5/8” Plastic J Bead</t>
        </is>
      </c>
      <c r="B203" s="41" t="inlineStr">
        <is>
          <t>58pj</t>
        </is>
      </c>
      <c r="C203" s="44" t="n">
        <v>0.335</v>
      </c>
      <c r="D203" s="42" t="n"/>
      <c r="E203" s="41" t="inlineStr">
        <is>
          <t>58pj</t>
        </is>
      </c>
      <c r="F203" s="41">
        <f>A203</f>
        <v/>
      </c>
      <c r="G203" s="42" t="n"/>
      <c r="H203" s="41" t="inlineStr">
        <is>
          <t>58pj</t>
        </is>
      </c>
      <c r="I203" s="41" t="inlineStr">
        <is>
          <t>Lnft</t>
        </is>
      </c>
    </row>
    <row r="204" ht="21.25" customFormat="1" customHeight="1" s="39">
      <c r="A204" s="46" t="inlineStr">
        <is>
          <t>1/2” Paper J Bead</t>
        </is>
      </c>
      <c r="B204" s="41" t="inlineStr">
        <is>
          <t>12pj</t>
        </is>
      </c>
      <c r="C204" s="44" t="n">
        <v>0.705</v>
      </c>
      <c r="D204" s="42" t="n"/>
      <c r="E204" s="41" t="inlineStr">
        <is>
          <t>12pj</t>
        </is>
      </c>
      <c r="F204" s="41">
        <f>A204</f>
        <v/>
      </c>
      <c r="G204" s="42" t="n"/>
      <c r="H204" s="41" t="inlineStr">
        <is>
          <t>12pj</t>
        </is>
      </c>
      <c r="I204" s="41" t="inlineStr">
        <is>
          <t>Lnft</t>
        </is>
      </c>
    </row>
    <row r="205" ht="21.25" customFormat="1" customHeight="1" s="39">
      <c r="A205" s="41" t="inlineStr">
        <is>
          <t>5/8” Paper J Bead</t>
        </is>
      </c>
      <c r="B205" s="41" t="inlineStr">
        <is>
          <t>58pj</t>
        </is>
      </c>
      <c r="C205" s="44" t="n">
        <v>0.705</v>
      </c>
      <c r="D205" s="42" t="n"/>
      <c r="E205" s="41" t="inlineStr">
        <is>
          <t>58pj</t>
        </is>
      </c>
      <c r="F205" s="41">
        <f>A205</f>
        <v/>
      </c>
      <c r="G205" s="42" t="n"/>
      <c r="H205" s="41" t="inlineStr">
        <is>
          <t>58pj</t>
        </is>
      </c>
      <c r="I205" s="41" t="inlineStr">
        <is>
          <t>Lnft</t>
        </is>
      </c>
    </row>
    <row r="206" ht="21.25" customFormat="1" customHeight="1" s="39">
      <c r="A206" s="46" t="inlineStr">
        <is>
          <t>No Coat 325</t>
        </is>
      </c>
      <c r="B206" s="41" t="inlineStr">
        <is>
          <t>nc325</t>
        </is>
      </c>
      <c r="C206" s="44" t="n">
        <v>80.56999999999999</v>
      </c>
      <c r="D206" s="42" t="n"/>
      <c r="E206" s="41" t="inlineStr">
        <is>
          <t>nc325</t>
        </is>
      </c>
      <c r="F206" s="41">
        <f>A206</f>
        <v/>
      </c>
      <c r="G206" s="42" t="n"/>
      <c r="H206" s="41" t="inlineStr">
        <is>
          <t>nc325</t>
        </is>
      </c>
      <c r="I206" s="41" t="inlineStr">
        <is>
          <t>Lnft</t>
        </is>
      </c>
    </row>
    <row r="207" ht="21.25" customFormat="1" customHeight="1" s="39">
      <c r="A207" s="41" t="inlineStr">
        <is>
          <t>No Coat 450</t>
        </is>
      </c>
      <c r="B207" s="41" t="inlineStr">
        <is>
          <t>nc450</t>
        </is>
      </c>
      <c r="C207" s="44" t="n">
        <v>139.82</v>
      </c>
      <c r="D207" s="42" t="n"/>
      <c r="E207" s="41" t="inlineStr">
        <is>
          <t>nc450</t>
        </is>
      </c>
      <c r="F207" s="41">
        <f>A207</f>
        <v/>
      </c>
      <c r="G207" s="42" t="n"/>
      <c r="H207" s="41" t="inlineStr">
        <is>
          <t>nc450</t>
        </is>
      </c>
      <c r="I207" s="41" t="inlineStr">
        <is>
          <t>Lnft</t>
        </is>
      </c>
    </row>
    <row r="208" ht="21.25" customFormat="1" customHeight="1" s="39">
      <c r="A208" s="41" t="n"/>
      <c r="B208" s="41" t="n"/>
      <c r="C208" s="44" t="n"/>
      <c r="D208" s="42" t="n"/>
      <c r="E208" s="41" t="n">
        <v>0</v>
      </c>
      <c r="F208" s="41">
        <f>A208</f>
        <v/>
      </c>
      <c r="G208" s="42" t="n"/>
      <c r="H208" s="41" t="n">
        <v>0</v>
      </c>
      <c r="I208" s="41" t="inlineStr">
        <is>
          <t>Pcs</t>
        </is>
      </c>
    </row>
    <row r="209" ht="21.25" customFormat="1" customHeight="1" s="39">
      <c r="A209" s="41" t="n"/>
      <c r="B209" s="41" t="n"/>
      <c r="C209" s="44" t="n"/>
      <c r="D209" s="42" t="n"/>
      <c r="E209" s="41" t="n"/>
      <c r="F209" s="41">
        <f>A209</f>
        <v/>
      </c>
      <c r="G209" s="42" t="n"/>
      <c r="H209" s="41" t="n"/>
      <c r="I209" s="41" t="inlineStr">
        <is>
          <t>Pcs</t>
        </is>
      </c>
    </row>
    <row r="210" ht="21.25" customFormat="1" customHeight="1" s="39">
      <c r="A210" s="41" t="inlineStr">
        <is>
          <t>Main T</t>
        </is>
      </c>
      <c r="B210" s="41" t="inlineStr">
        <is>
          <t>mt</t>
        </is>
      </c>
      <c r="C210" s="44" t="n">
        <v>0.99</v>
      </c>
      <c r="D210" s="42" t="n"/>
      <c r="E210" s="41" t="inlineStr">
        <is>
          <t>mt</t>
        </is>
      </c>
      <c r="F210" s="41">
        <f>A210</f>
        <v/>
      </c>
      <c r="G210" s="42" t="n"/>
      <c r="H210" s="41" t="inlineStr">
        <is>
          <t>mt</t>
        </is>
      </c>
      <c r="I210" s="41" t="inlineStr">
        <is>
          <t>Pcs</t>
        </is>
      </c>
    </row>
    <row r="211" ht="21.25" customFormat="1" customHeight="1" s="39">
      <c r="A211" s="41" t="inlineStr">
        <is>
          <t>5’ Cross T</t>
        </is>
      </c>
      <c r="B211" s="41" t="inlineStr">
        <is>
          <t>5ct</t>
        </is>
      </c>
      <c r="C211" s="44" t="n">
        <v>1.139</v>
      </c>
      <c r="D211" s="42" t="n"/>
      <c r="E211" s="41" t="inlineStr">
        <is>
          <t>5ct</t>
        </is>
      </c>
      <c r="F211" s="41">
        <f>A211</f>
        <v/>
      </c>
      <c r="G211" s="42" t="n"/>
      <c r="H211" s="41" t="inlineStr">
        <is>
          <t>5ct</t>
        </is>
      </c>
      <c r="I211" s="41" t="inlineStr">
        <is>
          <t>Pcs</t>
        </is>
      </c>
    </row>
    <row r="212" ht="21.25" customFormat="1" customHeight="1" s="39">
      <c r="A212" s="41" t="inlineStr">
        <is>
          <t>4’ Cross T</t>
        </is>
      </c>
      <c r="B212" s="41" t="inlineStr">
        <is>
          <t>4ct</t>
        </is>
      </c>
      <c r="C212" s="44" t="n">
        <v>0.9</v>
      </c>
      <c r="D212" s="42" t="n"/>
      <c r="E212" s="41" t="inlineStr">
        <is>
          <t>4ct</t>
        </is>
      </c>
      <c r="F212" s="41">
        <f>A212</f>
        <v/>
      </c>
      <c r="G212" s="42" t="n"/>
      <c r="H212" s="41" t="inlineStr">
        <is>
          <t>4ct</t>
        </is>
      </c>
      <c r="I212" s="41" t="inlineStr">
        <is>
          <t>Pcs</t>
        </is>
      </c>
    </row>
    <row r="213" ht="21.25" customFormat="1" customHeight="1" s="39">
      <c r="A213" s="41" t="inlineStr">
        <is>
          <t>2’ Cross T</t>
        </is>
      </c>
      <c r="B213" s="41" t="inlineStr">
        <is>
          <t>2ct</t>
        </is>
      </c>
      <c r="C213" s="44" t="n">
        <v>0.9</v>
      </c>
      <c r="D213" s="42" t="n"/>
      <c r="E213" s="41" t="inlineStr">
        <is>
          <t>2ct</t>
        </is>
      </c>
      <c r="F213" s="41">
        <f>A213</f>
        <v/>
      </c>
      <c r="G213" s="42" t="n"/>
      <c r="H213" s="41" t="inlineStr">
        <is>
          <t>2ct</t>
        </is>
      </c>
      <c r="I213" s="41" t="inlineStr">
        <is>
          <t>Pcs</t>
        </is>
      </c>
    </row>
    <row r="214" ht="21.25" customFormat="1" customHeight="1" s="39">
      <c r="A214" s="41" t="inlineStr">
        <is>
          <t>Main 9/16" T</t>
        </is>
      </c>
      <c r="B214" s="41" t="inlineStr">
        <is>
          <t>flmt</t>
        </is>
      </c>
      <c r="C214" s="44" t="n">
        <v>1.228</v>
      </c>
      <c r="D214" s="42" t="n"/>
      <c r="E214" s="41" t="inlineStr">
        <is>
          <t>flmt</t>
        </is>
      </c>
      <c r="F214" s="41">
        <f>A214</f>
        <v/>
      </c>
      <c r="G214" s="42" t="n"/>
      <c r="H214" s="41" t="inlineStr">
        <is>
          <t>flmt</t>
        </is>
      </c>
      <c r="I214" s="41" t="inlineStr">
        <is>
          <t>Pcs</t>
        </is>
      </c>
    </row>
    <row r="215" ht="21.25" customFormat="1" customHeight="1" s="39">
      <c r="A215" s="41" t="inlineStr">
        <is>
          <t>9/16" 5’ Cross T</t>
        </is>
      </c>
      <c r="B215" s="41" t="inlineStr">
        <is>
          <t>fl5</t>
        </is>
      </c>
      <c r="C215" s="44" t="n">
        <v>1.25</v>
      </c>
      <c r="D215" s="42" t="n"/>
      <c r="E215" s="41" t="inlineStr">
        <is>
          <t>fl5</t>
        </is>
      </c>
      <c r="F215" s="41">
        <f>A215</f>
        <v/>
      </c>
      <c r="G215" s="42" t="n"/>
      <c r="H215" s="41" t="inlineStr">
        <is>
          <t>fl5</t>
        </is>
      </c>
      <c r="I215" s="41" t="inlineStr">
        <is>
          <t>Pcs</t>
        </is>
      </c>
    </row>
    <row r="216" ht="21.25" customFormat="1" customHeight="1" s="39">
      <c r="A216" s="41" t="inlineStr">
        <is>
          <t>9/16" 4’ Cross T</t>
        </is>
      </c>
      <c r="B216" s="41" t="inlineStr">
        <is>
          <t>fl4</t>
        </is>
      </c>
      <c r="C216" s="44" t="n">
        <v>1.06</v>
      </c>
      <c r="D216" s="42" t="n"/>
      <c r="E216" s="41" t="inlineStr">
        <is>
          <t>fl4</t>
        </is>
      </c>
      <c r="F216" s="41">
        <f>A216</f>
        <v/>
      </c>
      <c r="G216" s="42" t="n"/>
      <c r="H216" s="41" t="inlineStr">
        <is>
          <t>fl4</t>
        </is>
      </c>
      <c r="I216" s="41" t="inlineStr">
        <is>
          <t>Pcs</t>
        </is>
      </c>
    </row>
    <row r="217" ht="21.25" customFormat="1" customHeight="1" s="39">
      <c r="A217" s="41" t="inlineStr">
        <is>
          <t>9/16" 2’ Cross T</t>
        </is>
      </c>
      <c r="B217" s="41" t="inlineStr">
        <is>
          <t>fl2</t>
        </is>
      </c>
      <c r="C217" s="44" t="n">
        <v>1.06</v>
      </c>
      <c r="D217" s="42" t="n"/>
      <c r="E217" s="41" t="inlineStr">
        <is>
          <t>fl2</t>
        </is>
      </c>
      <c r="F217" s="41">
        <f>A217</f>
        <v/>
      </c>
      <c r="G217" s="42" t="n"/>
      <c r="H217" s="41" t="inlineStr">
        <is>
          <t>fl2</t>
        </is>
      </c>
      <c r="I217" s="41" t="inlineStr">
        <is>
          <t>Pcs</t>
        </is>
      </c>
    </row>
    <row r="218" ht="21.25" customFormat="1" customHeight="1" s="39">
      <c r="A218" s="41" t="inlineStr">
        <is>
          <t>Wall Mould</t>
        </is>
      </c>
      <c r="B218" s="41" t="inlineStr">
        <is>
          <t>Wm</t>
        </is>
      </c>
      <c r="C218" s="44" t="n">
        <v>0.595</v>
      </c>
      <c r="D218" s="42" t="n"/>
      <c r="E218" s="41" t="inlineStr">
        <is>
          <t>Wm</t>
        </is>
      </c>
      <c r="F218" s="41">
        <f>A218</f>
        <v/>
      </c>
      <c r="G218" s="42" t="n"/>
      <c r="H218" s="41" t="inlineStr">
        <is>
          <t>Wm</t>
        </is>
      </c>
      <c r="I218" s="41" t="inlineStr">
        <is>
          <t>Pcs</t>
        </is>
      </c>
    </row>
    <row r="219" ht="21.25" customFormat="1" customHeight="1" s="39">
      <c r="A219" s="41" t="inlineStr">
        <is>
          <t>Wall Mould 9/16"</t>
        </is>
      </c>
      <c r="B219" s="41" t="inlineStr">
        <is>
          <t>flWm</t>
        </is>
      </c>
      <c r="C219" s="44" t="n">
        <v>0.595</v>
      </c>
      <c r="D219" s="42" t="n"/>
      <c r="E219" s="41" t="inlineStr">
        <is>
          <t>flWm</t>
        </is>
      </c>
      <c r="F219" s="41">
        <f>A219</f>
        <v/>
      </c>
      <c r="G219" s="42" t="n"/>
      <c r="H219" s="41" t="inlineStr">
        <is>
          <t>flWm</t>
        </is>
      </c>
      <c r="I219" s="41" t="inlineStr">
        <is>
          <t>Pcs</t>
        </is>
      </c>
    </row>
    <row r="220" ht="21.25" customFormat="1" customHeight="1" s="39">
      <c r="A220" s="41" t="inlineStr">
        <is>
          <t>Shadow Mold</t>
        </is>
      </c>
      <c r="B220" s="41" t="inlineStr">
        <is>
          <t>shm</t>
        </is>
      </c>
      <c r="C220" s="44" t="n">
        <v>2.202</v>
      </c>
      <c r="D220" s="42" t="n"/>
      <c r="E220" s="41" t="inlineStr">
        <is>
          <t>shm</t>
        </is>
      </c>
      <c r="F220" s="41">
        <f>A220</f>
        <v/>
      </c>
      <c r="G220" s="42" t="n"/>
      <c r="H220" s="41" t="inlineStr">
        <is>
          <t>shm</t>
        </is>
      </c>
      <c r="I220" s="41" t="inlineStr">
        <is>
          <t>Pcs</t>
        </is>
      </c>
    </row>
    <row r="221" ht="18" customFormat="1" customHeight="1" s="39">
      <c r="A221" s="41" t="inlineStr">
        <is>
          <t>Drywall Grid Main T</t>
        </is>
      </c>
      <c r="B221" s="41" t="inlineStr">
        <is>
          <t>DWGMT</t>
        </is>
      </c>
      <c r="C221" s="44" t="n">
        <v>1.311</v>
      </c>
      <c r="D221" s="42" t="n"/>
      <c r="E221" s="41" t="inlineStr">
        <is>
          <t>DWGMT</t>
        </is>
      </c>
      <c r="F221" s="41">
        <f>A221</f>
        <v/>
      </c>
      <c r="G221" s="42" t="n"/>
      <c r="H221" s="41" t="inlineStr">
        <is>
          <t>DWGMT</t>
        </is>
      </c>
      <c r="I221" s="41" t="inlineStr">
        <is>
          <t>Pcs</t>
        </is>
      </c>
    </row>
    <row r="222" ht="21.25" customFormat="1" customHeight="1" s="39">
      <c r="A222" s="41" t="inlineStr">
        <is>
          <t>Drywall Grid 4' T</t>
        </is>
      </c>
      <c r="B222" s="41" t="inlineStr">
        <is>
          <t>DWG4</t>
        </is>
      </c>
      <c r="C222" s="44" t="n">
        <v>1.311</v>
      </c>
      <c r="D222" s="42" t="n"/>
      <c r="E222" s="41" t="inlineStr">
        <is>
          <t>DWG4</t>
        </is>
      </c>
      <c r="F222" s="41">
        <f>A222</f>
        <v/>
      </c>
      <c r="G222" s="42" t="n"/>
      <c r="H222" s="41" t="inlineStr">
        <is>
          <t>DWG4</t>
        </is>
      </c>
      <c r="I222" s="41" t="inlineStr">
        <is>
          <t>Pcs</t>
        </is>
      </c>
    </row>
    <row r="223" ht="21.25" customFormat="1" customHeight="1" s="39">
      <c r="A223" s="41" t="inlineStr">
        <is>
          <t>Drywall Grid 2' T</t>
        </is>
      </c>
      <c r="B223" s="41" t="inlineStr">
        <is>
          <t>DWG2</t>
        </is>
      </c>
      <c r="C223" s="44" t="n">
        <v>1.872</v>
      </c>
      <c r="D223" s="42" t="n"/>
      <c r="E223" s="41" t="inlineStr">
        <is>
          <t>DWG2</t>
        </is>
      </c>
      <c r="F223" s="41">
        <f>A223</f>
        <v/>
      </c>
      <c r="G223" s="42" t="n"/>
      <c r="H223" s="41" t="inlineStr">
        <is>
          <t>DWG2</t>
        </is>
      </c>
      <c r="I223" s="41" t="inlineStr">
        <is>
          <t>Pcs</t>
        </is>
      </c>
    </row>
    <row r="224" ht="21.25" customFormat="1" customHeight="1" s="39">
      <c r="A224" s="41" t="inlineStr">
        <is>
          <t>Stock Tile</t>
        </is>
      </c>
      <c r="B224" s="41" t="inlineStr">
        <is>
          <t>T2310</t>
        </is>
      </c>
      <c r="C224" s="44" t="n">
        <v>0.6830000000000001</v>
      </c>
      <c r="D224" s="42" t="n"/>
      <c r="E224" s="41" t="inlineStr">
        <is>
          <t>T2310</t>
        </is>
      </c>
      <c r="F224" s="41">
        <f>A224</f>
        <v/>
      </c>
      <c r="G224" s="42" t="n"/>
      <c r="H224" s="41" t="inlineStr">
        <is>
          <t>T2310</t>
        </is>
      </c>
      <c r="I224" s="41" t="inlineStr">
        <is>
          <t>Pcs</t>
        </is>
      </c>
    </row>
    <row r="225" ht="21.25" customFormat="1" customHeight="1" s="39">
      <c r="A225" s="41" t="inlineStr">
        <is>
          <t>Armstrong 9768 Sahara</t>
        </is>
      </c>
      <c r="B225" s="41" t="inlineStr">
        <is>
          <t>T9678</t>
        </is>
      </c>
      <c r="C225" s="44" t="n">
        <v>0.8</v>
      </c>
      <c r="D225" s="42" t="n"/>
      <c r="E225" s="41" t="inlineStr">
        <is>
          <t>T9678</t>
        </is>
      </c>
      <c r="F225" s="41">
        <f>A225</f>
        <v/>
      </c>
      <c r="G225" s="42" t="n"/>
      <c r="H225" s="41" t="inlineStr">
        <is>
          <t>T9678</t>
        </is>
      </c>
      <c r="I225" s="41" t="inlineStr">
        <is>
          <t>Pcs</t>
        </is>
      </c>
    </row>
    <row r="226" ht="21.25" customFormat="1" customHeight="1" s="39">
      <c r="A226" s="41" t="inlineStr">
        <is>
          <t>DRYWALL TILE</t>
        </is>
      </c>
      <c r="B226" s="41" t="inlineStr">
        <is>
          <t>DWT</t>
        </is>
      </c>
      <c r="C226" s="44" t="n">
        <v>1</v>
      </c>
      <c r="D226" s="42" t="n"/>
      <c r="E226" s="41" t="inlineStr">
        <is>
          <t>DWT</t>
        </is>
      </c>
      <c r="F226" s="41">
        <f>A226</f>
        <v/>
      </c>
      <c r="G226" s="42" t="n"/>
      <c r="H226" s="41" t="inlineStr">
        <is>
          <t>DWT</t>
        </is>
      </c>
      <c r="I226" s="41" t="inlineStr">
        <is>
          <t>Pcs</t>
        </is>
      </c>
    </row>
    <row r="227" ht="21.25" customFormat="1" customHeight="1" s="39">
      <c r="A227" s="41" t="inlineStr">
        <is>
          <t>Rocfon Sonar #16101</t>
        </is>
      </c>
      <c r="B227" s="41" t="inlineStr">
        <is>
          <t>t16101</t>
        </is>
      </c>
      <c r="C227" s="44" t="n">
        <v>3.165</v>
      </c>
      <c r="D227" s="42" t="n"/>
      <c r="E227" s="41" t="inlineStr">
        <is>
          <t>t16101</t>
        </is>
      </c>
      <c r="F227" s="41">
        <f>A227</f>
        <v/>
      </c>
      <c r="G227" s="42" t="n"/>
      <c r="H227" s="41" t="inlineStr">
        <is>
          <t>t16101</t>
        </is>
      </c>
      <c r="I227" s="41" t="inlineStr">
        <is>
          <t>Pcs</t>
        </is>
      </c>
    </row>
    <row r="228" ht="21.25" customFormat="1" customHeight="1" s="39">
      <c r="A228" s="41" t="inlineStr">
        <is>
          <t>Rocfon Pacifc #201</t>
        </is>
      </c>
      <c r="B228" s="41" t="inlineStr">
        <is>
          <t>t201</t>
        </is>
      </c>
      <c r="C228" s="44" t="n">
        <v>0.6899999999999999</v>
      </c>
      <c r="D228" s="42" t="n"/>
      <c r="E228" s="41" t="inlineStr">
        <is>
          <t>t201</t>
        </is>
      </c>
      <c r="F228" s="41">
        <f>A228</f>
        <v/>
      </c>
      <c r="G228" s="42" t="n"/>
      <c r="H228" s="41" t="inlineStr">
        <is>
          <t>t201</t>
        </is>
      </c>
      <c r="I228" s="41" t="inlineStr">
        <is>
          <t>Pcs</t>
        </is>
      </c>
    </row>
    <row r="229" ht="21.25" customFormat="1" customHeight="1" s="39">
      <c r="A229" s="47" t="inlineStr">
        <is>
          <t>Rocfon Artic #601</t>
        </is>
      </c>
      <c r="B229" s="41" t="inlineStr">
        <is>
          <t>t601</t>
        </is>
      </c>
      <c r="C229" s="44" t="n">
        <v>1.2</v>
      </c>
      <c r="D229" s="42" t="n"/>
      <c r="E229" s="41" t="inlineStr">
        <is>
          <t>t601</t>
        </is>
      </c>
      <c r="F229" s="41">
        <f>A229</f>
        <v/>
      </c>
      <c r="G229" s="42" t="n"/>
      <c r="H229" s="41" t="inlineStr">
        <is>
          <t>t601</t>
        </is>
      </c>
      <c r="I229" s="41" t="inlineStr">
        <is>
          <t>Pcs</t>
        </is>
      </c>
    </row>
    <row r="230" ht="21.25" customFormat="1" customHeight="1" s="39">
      <c r="A230" s="47" t="inlineStr">
        <is>
          <t>Rocfon Koral #1101</t>
        </is>
      </c>
      <c r="B230" s="41" t="inlineStr">
        <is>
          <t>t1101</t>
        </is>
      </c>
      <c r="C230" s="44" t="n">
        <v>1.995</v>
      </c>
      <c r="D230" s="42" t="n"/>
      <c r="E230" s="41" t="inlineStr">
        <is>
          <t>t1101</t>
        </is>
      </c>
      <c r="F230" s="41">
        <f>A230</f>
        <v/>
      </c>
      <c r="G230" s="42" t="n"/>
      <c r="H230" s="41" t="inlineStr">
        <is>
          <t>t1101</t>
        </is>
      </c>
      <c r="I230" s="41" t="inlineStr">
        <is>
          <t>Pcs</t>
        </is>
      </c>
    </row>
    <row r="231" ht="21.25" customFormat="1" customHeight="1" s="39">
      <c r="A231" s="41" t="inlineStr">
        <is>
          <t xml:space="preserve">Ceiling Tile </t>
        </is>
      </c>
      <c r="B231" s="41" t="inlineStr">
        <is>
          <t>ct</t>
        </is>
      </c>
      <c r="C231" s="44" t="n">
        <v>0.903</v>
      </c>
      <c r="D231" s="42" t="n"/>
      <c r="E231" s="41" t="inlineStr">
        <is>
          <t>t197</t>
        </is>
      </c>
      <c r="F231" s="41">
        <f>A231</f>
        <v/>
      </c>
      <c r="G231" s="42" t="n"/>
      <c r="H231" s="41" t="inlineStr">
        <is>
          <t>t197</t>
        </is>
      </c>
      <c r="I231" s="41" t="inlineStr">
        <is>
          <t>Pcs</t>
        </is>
      </c>
    </row>
    <row r="232" ht="21.25" customFormat="1" customHeight="1" s="39">
      <c r="A232" s="41" t="inlineStr">
        <is>
          <t>Symphony F foil back 1340</t>
        </is>
      </c>
      <c r="B232" s="41" t="inlineStr">
        <is>
          <t>t1340</t>
        </is>
      </c>
      <c r="C232" s="44" t="n">
        <v>3.058</v>
      </c>
      <c r="D232" s="42" t="n"/>
      <c r="E232" s="41" t="inlineStr">
        <is>
          <t>t1340</t>
        </is>
      </c>
      <c r="F232" s="41">
        <f>A232</f>
        <v/>
      </c>
      <c r="G232" s="42" t="n"/>
      <c r="H232" s="41" t="inlineStr">
        <is>
          <t>t1340</t>
        </is>
      </c>
      <c r="I232" s="41" t="inlineStr">
        <is>
          <t>Pcs</t>
        </is>
      </c>
    </row>
    <row r="233" ht="21.25" customFormat="1" customHeight="1" s="39">
      <c r="A233" s="41" t="inlineStr">
        <is>
          <t>Cashmere 224</t>
        </is>
      </c>
      <c r="B233" s="41" t="inlineStr">
        <is>
          <t>t224</t>
        </is>
      </c>
      <c r="C233" s="44" t="n">
        <v>2.206</v>
      </c>
      <c r="D233" s="42" t="n"/>
      <c r="E233" s="41" t="inlineStr">
        <is>
          <t>t224</t>
        </is>
      </c>
      <c r="F233" s="41">
        <f>A233</f>
        <v/>
      </c>
      <c r="G233" s="42" t="n"/>
      <c r="H233" s="41" t="inlineStr">
        <is>
          <t>t224</t>
        </is>
      </c>
      <c r="I233" s="41" t="inlineStr">
        <is>
          <t>Pcs</t>
        </is>
      </c>
    </row>
    <row r="234" ht="21.25" customFormat="1" customHeight="1" s="39">
      <c r="A234" s="41" t="inlineStr">
        <is>
          <t>CertainTeed BET 197</t>
        </is>
      </c>
      <c r="B234" s="41" t="inlineStr">
        <is>
          <t>bet197</t>
        </is>
      </c>
      <c r="C234" s="44" t="n">
        <v>0.669</v>
      </c>
      <c r="D234" s="42" t="n"/>
      <c r="E234" s="41" t="inlineStr">
        <is>
          <t>bet197</t>
        </is>
      </c>
      <c r="F234" s="41">
        <f>A234</f>
        <v/>
      </c>
      <c r="G234" s="42" t="n"/>
      <c r="H234" s="41" t="inlineStr">
        <is>
          <t>bet197</t>
        </is>
      </c>
      <c r="I234" s="41" t="inlineStr">
        <is>
          <t>Pcs</t>
        </is>
      </c>
    </row>
    <row r="235" ht="21.25" customFormat="1" customHeight="1" s="39">
      <c r="A235" s="42" t="n"/>
      <c r="B235" s="42" t="n"/>
      <c r="C235" s="42" t="n"/>
      <c r="D235" s="42" t="n"/>
      <c r="E235" s="42" t="n"/>
      <c r="F235" s="41">
        <f>A235</f>
        <v/>
      </c>
      <c r="G235" s="42" t="n"/>
      <c r="H235" s="42" t="n"/>
      <c r="I235" s="42" t="n"/>
    </row>
    <row r="236" ht="21.25" customFormat="1" customHeight="1" s="39">
      <c r="A236" s="46" t="inlineStr">
        <is>
          <t>Tie Wire</t>
        </is>
      </c>
      <c r="B236" s="41" t="inlineStr">
        <is>
          <t>Tw</t>
        </is>
      </c>
      <c r="C236" s="42" t="n">
        <v>0.2</v>
      </c>
      <c r="D236" s="42" t="n"/>
      <c r="E236" s="41" t="inlineStr">
        <is>
          <t>Tw</t>
        </is>
      </c>
      <c r="F236" s="41">
        <f>A236</f>
        <v/>
      </c>
      <c r="G236" s="42" t="n"/>
      <c r="H236" s="41" t="inlineStr">
        <is>
          <t>Tw</t>
        </is>
      </c>
      <c r="I236" s="41" t="inlineStr">
        <is>
          <t>Tw</t>
        </is>
      </c>
    </row>
    <row r="237" ht="21.25" customFormat="1" customHeight="1" s="39">
      <c r="A237" s="46" t="n"/>
      <c r="B237" s="41" t="n"/>
      <c r="C237" s="42" t="n"/>
      <c r="D237" s="42" t="n"/>
      <c r="E237" s="41" t="n"/>
      <c r="F237" s="41">
        <f>A237</f>
        <v/>
      </c>
      <c r="G237" s="42" t="n"/>
      <c r="H237" s="41" t="n"/>
      <c r="I237" s="41" t="n"/>
    </row>
    <row r="238" ht="21.25" customFormat="1" customHeight="1" s="39">
      <c r="A238" s="46" t="inlineStr">
        <is>
          <t>Lags</t>
        </is>
      </c>
      <c r="B238" s="41" t="inlineStr">
        <is>
          <t>Lag</t>
        </is>
      </c>
      <c r="C238" s="42" t="n">
        <v>0.25</v>
      </c>
      <c r="D238" s="42" t="n"/>
      <c r="E238" s="41" t="inlineStr">
        <is>
          <t>Lag</t>
        </is>
      </c>
      <c r="F238" s="41">
        <f>A238</f>
        <v/>
      </c>
      <c r="G238" s="42" t="n"/>
      <c r="H238" s="41" t="inlineStr">
        <is>
          <t>Lag</t>
        </is>
      </c>
      <c r="I238" s="41" t="inlineStr">
        <is>
          <t>Pcs</t>
        </is>
      </c>
    </row>
    <row r="239" ht="21.25" customFormat="1" customHeight="1" s="39">
      <c r="A239" s="46" t="inlineStr">
        <is>
          <t>Revo Clip</t>
        </is>
      </c>
      <c r="B239" s="41" t="inlineStr">
        <is>
          <t>Revo</t>
        </is>
      </c>
      <c r="C239" s="42" t="n">
        <v>0.6</v>
      </c>
      <c r="D239" s="42" t="n"/>
      <c r="E239" s="41" t="inlineStr">
        <is>
          <t>Revo</t>
        </is>
      </c>
      <c r="F239" s="41">
        <f>A239</f>
        <v/>
      </c>
      <c r="G239" s="42" t="n"/>
      <c r="H239" s="41" t="inlineStr">
        <is>
          <t>Revo</t>
        </is>
      </c>
      <c r="I239" s="41" t="inlineStr">
        <is>
          <t>Pcs</t>
        </is>
      </c>
    </row>
    <row r="240" ht="21.25" customFormat="1" customHeight="1" s="39">
      <c r="A240" s="41" t="inlineStr">
        <is>
          <t>Tegular Revo Clip</t>
        </is>
      </c>
      <c r="B240" s="41" t="inlineStr">
        <is>
          <t>Trevo</t>
        </is>
      </c>
      <c r="C240" s="44" t="n">
        <v>0.6</v>
      </c>
      <c r="D240" s="42" t="n"/>
      <c r="E240" s="41" t="inlineStr">
        <is>
          <t>Trevo</t>
        </is>
      </c>
      <c r="F240" s="41">
        <f>A240</f>
        <v/>
      </c>
      <c r="G240" s="42" t="n"/>
      <c r="H240" s="41" t="inlineStr">
        <is>
          <t>Trevo</t>
        </is>
      </c>
      <c r="I240" s="41" t="inlineStr">
        <is>
          <t>Pcs</t>
        </is>
      </c>
    </row>
    <row r="241" ht="21.25" customFormat="1" customHeight="1" s="39">
      <c r="A241" s="41" t="inlineStr">
        <is>
          <t>Acoustic Clips</t>
        </is>
      </c>
      <c r="B241" s="41" t="inlineStr">
        <is>
          <t>acp</t>
        </is>
      </c>
      <c r="C241" s="44" t="n">
        <v>5</v>
      </c>
      <c r="D241" s="42" t="n"/>
      <c r="E241" s="41" t="inlineStr">
        <is>
          <t>acp</t>
        </is>
      </c>
      <c r="F241" s="41">
        <f>A241</f>
        <v/>
      </c>
      <c r="G241" s="42" t="n"/>
      <c r="H241" s="41" t="inlineStr">
        <is>
          <t>acp</t>
        </is>
      </c>
      <c r="I241" s="41" t="inlineStr">
        <is>
          <t>Pcs</t>
        </is>
      </c>
    </row>
    <row r="242" ht="21.25" customFormat="1" customHeight="1" s="39">
      <c r="A242" s="41" t="inlineStr">
        <is>
          <t>1 1/4” Fine Thread DW Screws</t>
        </is>
      </c>
      <c r="B242" s="41" t="inlineStr">
        <is>
          <t>114ft</t>
        </is>
      </c>
      <c r="C242" s="44" t="n">
        <v>47.8</v>
      </c>
      <c r="D242" s="42" t="n"/>
      <c r="E242" s="41" t="inlineStr">
        <is>
          <t>114ft</t>
        </is>
      </c>
      <c r="F242" s="41">
        <f>A242</f>
        <v/>
      </c>
      <c r="G242" s="42" t="n"/>
      <c r="H242" s="41" t="inlineStr">
        <is>
          <t>114ft</t>
        </is>
      </c>
      <c r="I242" s="41" t="inlineStr">
        <is>
          <t>Boxes</t>
        </is>
      </c>
    </row>
    <row r="243" ht="20.9" customFormat="1" customHeight="1" s="39">
      <c r="A243" s="46" t="inlineStr">
        <is>
          <t>1 5/8” Fine Thread DW Screws</t>
        </is>
      </c>
      <c r="B243" s="41" t="inlineStr">
        <is>
          <t>158ft</t>
        </is>
      </c>
      <c r="C243" s="44" t="n">
        <v>40.6</v>
      </c>
      <c r="D243" s="42" t="n"/>
      <c r="E243" s="41" t="inlineStr">
        <is>
          <t>158ft</t>
        </is>
      </c>
      <c r="F243" s="41">
        <f>A243</f>
        <v/>
      </c>
      <c r="G243" s="42" t="n"/>
      <c r="H243" s="41" t="inlineStr">
        <is>
          <t>158ft</t>
        </is>
      </c>
      <c r="I243" s="41" t="inlineStr">
        <is>
          <t>Boxes</t>
        </is>
      </c>
    </row>
    <row r="244" ht="20.5" customFormat="1" customHeight="1" s="39">
      <c r="A244" s="46" t="inlineStr">
        <is>
          <t>2” Fine Thread DW Screws</t>
        </is>
      </c>
      <c r="B244" s="41" t="inlineStr">
        <is>
          <t>2ft</t>
        </is>
      </c>
      <c r="C244" s="44" t="n">
        <v>39.6</v>
      </c>
      <c r="D244" s="42" t="n"/>
      <c r="E244" s="41" t="inlineStr">
        <is>
          <t>2ft</t>
        </is>
      </c>
      <c r="F244" s="41">
        <f>A244</f>
        <v/>
      </c>
      <c r="G244" s="42" t="n"/>
      <c r="H244" s="41" t="inlineStr">
        <is>
          <t>2ft</t>
        </is>
      </c>
      <c r="I244" s="41" t="inlineStr">
        <is>
          <t>Boxes</t>
        </is>
      </c>
    </row>
    <row r="245" ht="20.5" customFormat="1" customHeight="1" s="39">
      <c r="A245" s="46" t="inlineStr">
        <is>
          <t>1 1/4” Self Tapping DW Screws</t>
        </is>
      </c>
      <c r="B245" s="41" t="inlineStr">
        <is>
          <t>114st</t>
        </is>
      </c>
      <c r="C245" s="44" t="n">
        <v>68</v>
      </c>
      <c r="D245" s="42" t="n"/>
      <c r="E245" s="41" t="inlineStr">
        <is>
          <t>114st</t>
        </is>
      </c>
      <c r="F245" s="41">
        <f>A245</f>
        <v/>
      </c>
      <c r="G245" s="42" t="n"/>
      <c r="H245" s="41" t="inlineStr">
        <is>
          <t>114st</t>
        </is>
      </c>
      <c r="I245" s="41" t="inlineStr">
        <is>
          <t>Boxes</t>
        </is>
      </c>
    </row>
    <row r="246" ht="20.5" customFormat="1" customHeight="1" s="39">
      <c r="A246" s="46" t="inlineStr">
        <is>
          <t>1 5/8” Self Tapping DW Screws</t>
        </is>
      </c>
      <c r="B246" s="41" t="inlineStr">
        <is>
          <t>158st</t>
        </is>
      </c>
      <c r="C246" s="44" t="n">
        <v>54</v>
      </c>
      <c r="D246" s="42" t="n"/>
      <c r="E246" s="41" t="inlineStr">
        <is>
          <t>158st</t>
        </is>
      </c>
      <c r="F246" s="41">
        <f>A246</f>
        <v/>
      </c>
      <c r="G246" s="42" t="n"/>
      <c r="H246" s="41" t="inlineStr">
        <is>
          <t>158st</t>
        </is>
      </c>
      <c r="I246" s="41" t="inlineStr">
        <is>
          <t>Boxes</t>
        </is>
      </c>
    </row>
    <row r="247" ht="20.5" customFormat="1" customHeight="1" s="39">
      <c r="A247" s="41" t="inlineStr">
        <is>
          <t>2” Fine Self Tapping Screws</t>
        </is>
      </c>
      <c r="B247" s="41" t="inlineStr">
        <is>
          <t>2st</t>
        </is>
      </c>
      <c r="C247" s="44" t="n">
        <v>49</v>
      </c>
      <c r="D247" s="42" t="n"/>
      <c r="E247" s="41" t="inlineStr">
        <is>
          <t>2st</t>
        </is>
      </c>
      <c r="F247" s="41">
        <f>A247</f>
        <v/>
      </c>
      <c r="G247" s="42" t="n"/>
      <c r="H247" s="41" t="inlineStr">
        <is>
          <t>2st</t>
        </is>
      </c>
      <c r="I247" s="41" t="inlineStr">
        <is>
          <t>Boxes</t>
        </is>
      </c>
    </row>
    <row r="248" ht="20.5" customFormat="1" customHeight="1" s="39">
      <c r="A248" s="46" t="inlineStr">
        <is>
          <t>1 1/2” Laminating Screws</t>
        </is>
      </c>
      <c r="B248" s="41" t="inlineStr">
        <is>
          <t>112ls</t>
        </is>
      </c>
      <c r="C248" s="44" t="n">
        <v>75</v>
      </c>
      <c r="D248" s="42" t="n"/>
      <c r="E248" s="41" t="inlineStr">
        <is>
          <t>112ls</t>
        </is>
      </c>
      <c r="F248" s="41">
        <f>A248</f>
        <v/>
      </c>
      <c r="G248" s="42" t="n"/>
      <c r="H248" s="41" t="inlineStr">
        <is>
          <t>112ls</t>
        </is>
      </c>
      <c r="I248" s="41" t="inlineStr">
        <is>
          <t>Boxes</t>
        </is>
      </c>
    </row>
    <row r="249" ht="20.5" customFormat="1" customHeight="1" s="39">
      <c r="A249" s="41" t="inlineStr">
        <is>
          <t xml:space="preserve">Wafers </t>
        </is>
      </c>
      <c r="B249" s="41" t="inlineStr">
        <is>
          <t>waf</t>
        </is>
      </c>
      <c r="C249" s="42" t="n">
        <v>87</v>
      </c>
      <c r="D249" s="42" t="n"/>
      <c r="E249" s="41" t="inlineStr">
        <is>
          <t>waf</t>
        </is>
      </c>
      <c r="F249" s="41">
        <f>A249</f>
        <v/>
      </c>
      <c r="G249" s="42" t="n"/>
      <c r="H249" s="41" t="inlineStr">
        <is>
          <t>waf</t>
        </is>
      </c>
      <c r="I249" s="41" t="inlineStr">
        <is>
          <t>Boxes</t>
        </is>
      </c>
    </row>
    <row r="250" ht="20.5" customFormat="1" customHeight="1" s="39">
      <c r="A250" s="46" t="inlineStr">
        <is>
          <t>Self Tapping Wafers</t>
        </is>
      </c>
      <c r="B250" s="41" t="inlineStr">
        <is>
          <t>stw</t>
        </is>
      </c>
      <c r="C250" s="44" t="n">
        <v>90</v>
      </c>
      <c r="D250" s="42" t="n"/>
      <c r="E250" s="41" t="inlineStr">
        <is>
          <t>stw</t>
        </is>
      </c>
      <c r="F250" s="41">
        <f>A250</f>
        <v/>
      </c>
      <c r="G250" s="42" t="n"/>
      <c r="H250" s="41" t="inlineStr">
        <is>
          <t>stw</t>
        </is>
      </c>
      <c r="I250" s="41" t="inlineStr">
        <is>
          <t>Boxes</t>
        </is>
      </c>
    </row>
    <row r="251" ht="20.5" customFormat="1" customHeight="1" s="39">
      <c r="A251" s="46" t="n"/>
      <c r="B251" s="41" t="n"/>
      <c r="C251" s="44" t="n"/>
      <c r="D251" s="42" t="n"/>
      <c r="E251" s="41" t="n"/>
      <c r="F251" s="41">
        <f>A251</f>
        <v/>
      </c>
      <c r="G251" s="42" t="n"/>
      <c r="H251" s="41" t="n"/>
      <c r="I251" s="41" t="n"/>
    </row>
    <row r="252" ht="20.5" customFormat="1" customHeight="1" s="39">
      <c r="A252" s="46" t="inlineStr">
        <is>
          <t>4800DW Firestop Sealant 850 ML</t>
        </is>
      </c>
      <c r="B252" s="41" t="inlineStr">
        <is>
          <t>fs</t>
        </is>
      </c>
      <c r="C252" s="44" t="n">
        <v>17.85</v>
      </c>
      <c r="D252" s="42" t="n"/>
      <c r="E252" s="41" t="inlineStr">
        <is>
          <t>fs</t>
        </is>
      </c>
      <c r="F252" s="41">
        <f>A252</f>
        <v/>
      </c>
      <c r="G252" s="42" t="n"/>
      <c r="H252" s="41" t="inlineStr">
        <is>
          <t>fs</t>
        </is>
      </c>
      <c r="I252" s="41" t="inlineStr">
        <is>
          <t>Tubes</t>
        </is>
      </c>
    </row>
    <row r="253" ht="20.5" customFormat="1" customHeight="1" s="39">
      <c r="A253" s="41" t="inlineStr">
        <is>
          <t xml:space="preserve">Hilti 506 </t>
        </is>
      </c>
      <c r="B253" s="41" t="inlineStr">
        <is>
          <t>H506</t>
        </is>
      </c>
      <c r="C253" s="44" t="n">
        <v>0.15</v>
      </c>
      <c r="D253" s="42" t="n"/>
      <c r="E253" s="41" t="inlineStr">
        <is>
          <t>H506</t>
        </is>
      </c>
      <c r="F253" s="41">
        <f>A253</f>
        <v/>
      </c>
      <c r="G253" s="42" t="n"/>
      <c r="H253" s="41" t="inlineStr">
        <is>
          <t>H506</t>
        </is>
      </c>
      <c r="I253" s="41" t="inlineStr">
        <is>
          <t>Tubes</t>
        </is>
      </c>
    </row>
    <row r="254" ht="20.5" customFormat="1" customHeight="1" s="39">
      <c r="A254" s="41" t="inlineStr">
        <is>
          <t>Hilti 606</t>
        </is>
      </c>
      <c r="B254" s="41" t="inlineStr">
        <is>
          <t>H606</t>
        </is>
      </c>
      <c r="C254" s="44" t="n">
        <v>0.3</v>
      </c>
      <c r="D254" s="42" t="n"/>
      <c r="E254" s="41" t="inlineStr">
        <is>
          <t>H606</t>
        </is>
      </c>
      <c r="F254" s="41">
        <f>A254</f>
        <v/>
      </c>
      <c r="G254" s="42" t="n"/>
      <c r="H254" s="41" t="inlineStr">
        <is>
          <t>H606</t>
        </is>
      </c>
      <c r="I254" s="41" t="inlineStr">
        <is>
          <t>Tubes</t>
        </is>
      </c>
    </row>
    <row r="255" ht="20.5" customFormat="1" customHeight="1" s="39">
      <c r="A255" s="41" t="inlineStr">
        <is>
          <t>Acoustical Sealant 850 ML</t>
        </is>
      </c>
      <c r="B255" s="41" t="inlineStr">
        <is>
          <t>as</t>
        </is>
      </c>
      <c r="C255" s="44" t="n">
        <v>8.1</v>
      </c>
      <c r="D255" s="42" t="n"/>
      <c r="E255" s="41" t="inlineStr">
        <is>
          <t>as</t>
        </is>
      </c>
      <c r="F255" s="41">
        <f>A255</f>
        <v/>
      </c>
      <c r="G255" s="42" t="n"/>
      <c r="H255" s="41" t="inlineStr">
        <is>
          <t>as</t>
        </is>
      </c>
      <c r="I255" s="41" t="inlineStr">
        <is>
          <t>Tubes</t>
        </is>
      </c>
    </row>
    <row r="256" ht="20.5" customFormat="1" customHeight="1" s="39">
      <c r="A256" s="41" t="inlineStr">
        <is>
          <t>PL Premium Adhesive 825 ML</t>
        </is>
      </c>
      <c r="B256" s="42" t="inlineStr">
        <is>
          <t>pl</t>
        </is>
      </c>
      <c r="C256" s="42" t="n">
        <v>17.7</v>
      </c>
      <c r="D256" s="42" t="n"/>
      <c r="E256" s="42" t="inlineStr">
        <is>
          <t>pl</t>
        </is>
      </c>
      <c r="F256" s="41">
        <f>A256</f>
        <v/>
      </c>
      <c r="G256" s="42" t="n"/>
      <c r="H256" s="42" t="inlineStr">
        <is>
          <t>pl</t>
        </is>
      </c>
      <c r="I256" s="42" t="inlineStr">
        <is>
          <t>Cans</t>
        </is>
      </c>
    </row>
    <row r="257" ht="20.5" customFormat="1" customHeight="1" s="39">
      <c r="A257" s="41" t="inlineStr">
        <is>
          <t>3M Super 77 Spray Glue</t>
        </is>
      </c>
      <c r="B257" s="42" t="inlineStr">
        <is>
          <t>sg</t>
        </is>
      </c>
      <c r="C257" s="42" t="n">
        <v>15.5</v>
      </c>
      <c r="D257" s="42" t="n"/>
      <c r="E257" s="42" t="inlineStr">
        <is>
          <t>sg</t>
        </is>
      </c>
      <c r="F257" s="41">
        <f>A257</f>
        <v/>
      </c>
      <c r="G257" s="42" t="n"/>
      <c r="H257" s="42" t="inlineStr">
        <is>
          <t>sg</t>
        </is>
      </c>
      <c r="I257" s="42" t="inlineStr">
        <is>
          <t>Cans</t>
        </is>
      </c>
    </row>
    <row r="258" ht="20.5" customFormat="1" customHeight="1" s="39">
      <c r="A258" s="41" t="n"/>
      <c r="B258" s="42" t="n"/>
      <c r="C258" s="42" t="n"/>
      <c r="D258" s="42" t="n"/>
      <c r="E258" s="42" t="n"/>
      <c r="F258" s="41">
        <f>A258</f>
        <v/>
      </c>
      <c r="G258" s="42" t="n"/>
      <c r="H258" s="42" t="n"/>
      <c r="I258" s="42" t="n"/>
    </row>
    <row r="259" ht="20.5" customFormat="1" customHeight="1" s="39">
      <c r="A259" s="41" t="n"/>
      <c r="B259" s="42" t="n"/>
      <c r="C259" s="42" t="n"/>
      <c r="D259" s="42" t="n"/>
      <c r="E259" s="42" t="n"/>
      <c r="F259" s="41">
        <f>A259</f>
        <v/>
      </c>
      <c r="G259" s="42" t="n"/>
      <c r="H259" s="42" t="n"/>
      <c r="I259" s="42" t="n"/>
    </row>
    <row r="260" ht="20.5" customFormat="1" customHeight="1" s="39">
      <c r="A260" s="41" t="inlineStr">
        <is>
          <t>VGH Labour</t>
        </is>
      </c>
      <c r="B260" s="42" t="inlineStr">
        <is>
          <t>vghl</t>
        </is>
      </c>
      <c r="C260" s="42" t="n">
        <v>80</v>
      </c>
      <c r="D260" s="42" t="n"/>
      <c r="E260" s="42" t="inlineStr">
        <is>
          <t>VGHL</t>
        </is>
      </c>
      <c r="F260" s="41">
        <f>A260</f>
        <v/>
      </c>
      <c r="G260" s="42" t="n"/>
      <c r="H260" s="42" t="inlineStr">
        <is>
          <t>VGHL</t>
        </is>
      </c>
      <c r="I260" s="42" t="inlineStr">
        <is>
          <t>Hrs</t>
        </is>
      </c>
    </row>
    <row r="261" ht="20.5" customFormat="1" customHeight="1" s="39">
      <c r="A261" s="41" t="inlineStr">
        <is>
          <t>Framing Labour</t>
        </is>
      </c>
      <c r="B261" s="42" t="inlineStr">
        <is>
          <t>FL</t>
        </is>
      </c>
      <c r="C261" s="42" t="n">
        <v>80</v>
      </c>
      <c r="D261" s="42" t="n"/>
      <c r="E261" s="42" t="inlineStr">
        <is>
          <t>FL</t>
        </is>
      </c>
      <c r="F261" s="41">
        <f>A261</f>
        <v/>
      </c>
      <c r="G261" s="42" t="n"/>
      <c r="H261" s="42" t="inlineStr">
        <is>
          <t>FL</t>
        </is>
      </c>
      <c r="I261" s="42" t="inlineStr">
        <is>
          <t>Hrs</t>
        </is>
      </c>
    </row>
    <row r="262" ht="20.5" customFormat="1" customHeight="1" s="39">
      <c r="A262" s="41" t="inlineStr">
        <is>
          <t>Insulation Labour</t>
        </is>
      </c>
      <c r="B262" s="42" t="inlineStr">
        <is>
          <t>IL</t>
        </is>
      </c>
      <c r="C262" s="42" t="n">
        <v>80</v>
      </c>
      <c r="D262" s="42" t="n"/>
      <c r="E262" s="42" t="inlineStr">
        <is>
          <t>IL</t>
        </is>
      </c>
      <c r="F262" s="41">
        <f>A262</f>
        <v/>
      </c>
      <c r="G262" s="42" t="n"/>
      <c r="H262" s="42" t="inlineStr">
        <is>
          <t>IL</t>
        </is>
      </c>
      <c r="I262" s="42" t="inlineStr">
        <is>
          <t>Hrs</t>
        </is>
      </c>
    </row>
    <row r="263" ht="20.5" customFormat="1" customHeight="1" s="39">
      <c r="A263" s="41" t="inlineStr">
        <is>
          <t>Drywall Labour</t>
        </is>
      </c>
      <c r="B263" s="42" t="inlineStr">
        <is>
          <t>DL</t>
        </is>
      </c>
      <c r="C263" s="42" t="n">
        <v>80</v>
      </c>
      <c r="D263" s="42" t="n"/>
      <c r="E263" s="42" t="inlineStr">
        <is>
          <t>DL</t>
        </is>
      </c>
      <c r="F263" s="41">
        <f>A263</f>
        <v/>
      </c>
      <c r="G263" s="42" t="n"/>
      <c r="H263" s="42" t="inlineStr">
        <is>
          <t>DL</t>
        </is>
      </c>
      <c r="I263" s="42" t="inlineStr">
        <is>
          <t>Hrs</t>
        </is>
      </c>
    </row>
    <row r="264" ht="20.5" customFormat="1" customHeight="1" s="39">
      <c r="A264" s="41" t="inlineStr">
        <is>
          <t>Taping Labour</t>
        </is>
      </c>
      <c r="B264" s="42" t="inlineStr">
        <is>
          <t>TL</t>
        </is>
      </c>
      <c r="C264" s="42" t="n">
        <v>80</v>
      </c>
      <c r="D264" s="42" t="n"/>
      <c r="E264" s="42" t="inlineStr">
        <is>
          <t>TL</t>
        </is>
      </c>
      <c r="F264" s="41">
        <f>A264</f>
        <v/>
      </c>
      <c r="G264" s="42" t="n"/>
      <c r="H264" s="42" t="inlineStr">
        <is>
          <t>TL</t>
        </is>
      </c>
      <c r="I264" s="42" t="inlineStr">
        <is>
          <t>Hrs</t>
        </is>
      </c>
    </row>
    <row r="265" ht="20.5" customFormat="1" customHeight="1" s="39">
      <c r="A265" s="41" t="inlineStr">
        <is>
          <t>Acoustic Ceiling Labour</t>
        </is>
      </c>
      <c r="B265" s="42" t="inlineStr">
        <is>
          <t>ACL</t>
        </is>
      </c>
      <c r="C265" s="42" t="n">
        <v>80</v>
      </c>
      <c r="D265" s="42" t="n"/>
      <c r="E265" s="42" t="inlineStr">
        <is>
          <t>ACL</t>
        </is>
      </c>
      <c r="F265" s="41">
        <f>A265</f>
        <v/>
      </c>
      <c r="G265" s="42" t="n"/>
      <c r="H265" s="42" t="inlineStr">
        <is>
          <t>ACL</t>
        </is>
      </c>
      <c r="I265" s="42" t="inlineStr">
        <is>
          <t>Hrs</t>
        </is>
      </c>
    </row>
    <row r="266" ht="20.5" customFormat="1" customHeight="1" s="39">
      <c r="A266" s="41" t="inlineStr">
        <is>
          <t>Clean Up</t>
        </is>
      </c>
      <c r="B266" s="42" t="inlineStr">
        <is>
          <t>CU</t>
        </is>
      </c>
      <c r="C266" s="42" t="n">
        <v>80</v>
      </c>
      <c r="D266" s="42" t="n"/>
      <c r="E266" s="42" t="inlineStr">
        <is>
          <t>CU</t>
        </is>
      </c>
      <c r="F266" s="41">
        <f>A266</f>
        <v/>
      </c>
      <c r="G266" s="42" t="n"/>
      <c r="H266" s="42" t="inlineStr">
        <is>
          <t>CU</t>
        </is>
      </c>
      <c r="I266" s="42" t="inlineStr">
        <is>
          <t>Hrs</t>
        </is>
      </c>
    </row>
    <row r="267" ht="20.5" customFormat="1" customHeight="1" s="39">
      <c r="A267" s="41" t="inlineStr">
        <is>
          <t>Supervision</t>
        </is>
      </c>
      <c r="B267" s="42" t="inlineStr">
        <is>
          <t>S</t>
        </is>
      </c>
      <c r="C267" s="42" t="n">
        <v>80</v>
      </c>
      <c r="D267" s="42" t="n"/>
      <c r="E267" s="42" t="inlineStr">
        <is>
          <t>S</t>
        </is>
      </c>
      <c r="F267" s="41">
        <f>A267</f>
        <v/>
      </c>
      <c r="G267" s="42" t="n"/>
      <c r="H267" s="42" t="inlineStr">
        <is>
          <t>S</t>
        </is>
      </c>
      <c r="I267" s="42" t="inlineStr">
        <is>
          <t>Hrs</t>
        </is>
      </c>
    </row>
    <row r="268" ht="20.5" customFormat="1" customHeight="1" s="39">
      <c r="A268" s="41" t="inlineStr">
        <is>
          <t xml:space="preserve">Demo Labour </t>
        </is>
      </c>
      <c r="B268" s="42" t="inlineStr">
        <is>
          <t>Demo</t>
        </is>
      </c>
      <c r="C268" s="42" t="n">
        <v>60</v>
      </c>
      <c r="D268" s="42" t="n"/>
      <c r="E268" s="42" t="inlineStr">
        <is>
          <t>Demo</t>
        </is>
      </c>
      <c r="F268" s="41">
        <f>A268</f>
        <v/>
      </c>
      <c r="G268" s="42" t="n"/>
      <c r="H268" s="42" t="inlineStr">
        <is>
          <t>Demo</t>
        </is>
      </c>
      <c r="I268" s="42" t="inlineStr">
        <is>
          <t>Hrs</t>
        </is>
      </c>
    </row>
    <row r="269" ht="20.5" customFormat="1" customHeight="1" s="39">
      <c r="A269" s="41" t="n"/>
      <c r="B269" s="42" t="n"/>
      <c r="C269" s="42" t="n"/>
      <c r="D269" s="42" t="n"/>
      <c r="E269" s="42" t="n">
        <v>0</v>
      </c>
      <c r="F269" s="41">
        <f>A269</f>
        <v/>
      </c>
      <c r="G269" s="42" t="n"/>
      <c r="H269" s="42" t="n">
        <v>0</v>
      </c>
      <c r="I269" s="42" t="n">
        <v>1</v>
      </c>
    </row>
    <row r="270" ht="20.5" customFormat="1" customHeight="1" s="39">
      <c r="A270" s="41" t="inlineStr">
        <is>
          <t>Scissor Lift</t>
        </is>
      </c>
      <c r="B270" s="42" t="inlineStr">
        <is>
          <t>SL</t>
        </is>
      </c>
      <c r="C270" s="42" t="n">
        <v>423.076923076923</v>
      </c>
      <c r="D270" s="42" t="n"/>
      <c r="E270" s="42" t="inlineStr">
        <is>
          <t>sl</t>
        </is>
      </c>
      <c r="F270" s="41">
        <f>A270</f>
        <v/>
      </c>
      <c r="G270" s="42" t="n"/>
      <c r="H270" s="42" t="inlineStr">
        <is>
          <t>sl</t>
        </is>
      </c>
      <c r="I270" s="42" t="inlineStr">
        <is>
          <t>Weeks</t>
        </is>
      </c>
    </row>
    <row r="271" ht="20.5" customFormat="1" customHeight="1" s="39">
      <c r="A271" s="41" t="inlineStr">
        <is>
          <t>Taping Material</t>
        </is>
      </c>
      <c r="B271" s="42" t="inlineStr">
        <is>
          <t>TM</t>
        </is>
      </c>
      <c r="C271" s="42" t="n">
        <v>23.0538461538462</v>
      </c>
      <c r="D271" s="42" t="n"/>
      <c r="E271" s="42" t="inlineStr">
        <is>
          <t>TM</t>
        </is>
      </c>
      <c r="F271" s="41">
        <f>A271</f>
        <v/>
      </c>
      <c r="G271" s="42" t="n"/>
      <c r="H271" s="42" t="inlineStr">
        <is>
          <t>TM</t>
        </is>
      </c>
      <c r="I271" s="42" t="inlineStr">
        <is>
          <t>-</t>
        </is>
      </c>
    </row>
    <row r="272" ht="20.5" customFormat="1" customHeight="1" s="39">
      <c r="A272" s="41" t="inlineStr">
        <is>
          <t>Disposal</t>
        </is>
      </c>
      <c r="B272" s="42" t="inlineStr">
        <is>
          <t>D</t>
        </is>
      </c>
      <c r="C272" s="42" t="n">
        <v>57.69230769230769</v>
      </c>
      <c r="D272" s="42" t="n"/>
      <c r="E272" s="42" t="inlineStr">
        <is>
          <t>D</t>
        </is>
      </c>
      <c r="F272" s="41">
        <f>A272</f>
        <v/>
      </c>
      <c r="G272" s="42" t="n"/>
      <c r="H272" s="42" t="inlineStr">
        <is>
          <t>D</t>
        </is>
      </c>
      <c r="I272" s="42" t="inlineStr">
        <is>
          <t>-</t>
        </is>
      </c>
    </row>
    <row r="273" ht="20.5" customFormat="1" customHeight="1" s="39">
      <c r="A273" s="41" t="inlineStr">
        <is>
          <t>Delivery Fee</t>
        </is>
      </c>
      <c r="B273" s="42" t="inlineStr">
        <is>
          <t>DF</t>
        </is>
      </c>
      <c r="C273" s="42">
        <f>265/1.3</f>
        <v/>
      </c>
      <c r="D273" s="42" t="n"/>
      <c r="E273" s="42" t="inlineStr">
        <is>
          <t>DF</t>
        </is>
      </c>
      <c r="F273" s="41">
        <f>A273</f>
        <v/>
      </c>
      <c r="G273" s="42" t="n"/>
      <c r="H273" s="42" t="inlineStr">
        <is>
          <t>DF</t>
        </is>
      </c>
      <c r="I273" s="42" t="inlineStr">
        <is>
          <t>-</t>
        </is>
      </c>
    </row>
    <row r="274" ht="20.5" customFormat="1" customHeight="1" s="39">
      <c r="A274" s="41" t="n"/>
      <c r="B274" s="42" t="n"/>
      <c r="C274" s="42" t="n"/>
      <c r="D274" s="42" t="n"/>
      <c r="E274" s="42" t="n">
        <v>0</v>
      </c>
      <c r="F274" s="41">
        <f>A274</f>
        <v/>
      </c>
      <c r="G274" s="42" t="n"/>
      <c r="H274" s="42" t="n">
        <v>0</v>
      </c>
      <c r="I274" s="42" t="n">
        <v>1</v>
      </c>
    </row>
    <row r="275" ht="20.5" customFormat="1" customHeight="1" s="39">
      <c r="A275" s="41" t="n"/>
      <c r="B275" s="42" t="n"/>
      <c r="C275" s="42" t="n"/>
      <c r="D275" s="42" t="n"/>
      <c r="E275" s="42" t="n">
        <v>0</v>
      </c>
      <c r="F275" s="41">
        <f>A275</f>
        <v/>
      </c>
      <c r="G275" s="42" t="n"/>
      <c r="H275" s="42" t="n">
        <v>0</v>
      </c>
      <c r="I275" s="42" t="n">
        <v>1</v>
      </c>
    </row>
    <row r="276" ht="20.5" customFormat="1" customHeight="1" s="39">
      <c r="A276" s="41" t="n"/>
      <c r="B276" s="42" t="n"/>
      <c r="C276" s="42" t="n"/>
      <c r="D276" s="42" t="n"/>
      <c r="E276" s="42" t="n">
        <v>0</v>
      </c>
      <c r="F276" s="41">
        <f>A276</f>
        <v/>
      </c>
      <c r="G276" s="42" t="n"/>
      <c r="H276" s="42" t="n">
        <v>0</v>
      </c>
      <c r="I276" s="42" t="n">
        <v>1</v>
      </c>
    </row>
    <row r="277" ht="20.5" customFormat="1" customHeight="1" s="39">
      <c r="A277" s="41" t="n"/>
      <c r="B277" s="42" t="n"/>
      <c r="C277" s="42" t="n"/>
      <c r="D277" s="42" t="n"/>
      <c r="E277" s="42" t="n">
        <v>0</v>
      </c>
      <c r="F277" s="41">
        <f>A277</f>
        <v/>
      </c>
      <c r="G277" s="42" t="n"/>
      <c r="H277" s="42" t="n">
        <v>0</v>
      </c>
      <c r="I277" s="42" t="n">
        <v>1</v>
      </c>
    </row>
    <row r="278" ht="20.5" customFormat="1" customHeight="1" s="39">
      <c r="A278" s="41" t="n"/>
      <c r="B278" s="42" t="n"/>
      <c r="C278" s="42" t="n"/>
      <c r="D278" s="42" t="n"/>
      <c r="E278" s="42" t="n">
        <v>0</v>
      </c>
      <c r="F278" s="41">
        <f>A278</f>
        <v/>
      </c>
      <c r="G278" s="42" t="n"/>
      <c r="H278" s="42" t="n">
        <v>0</v>
      </c>
      <c r="I278" s="42" t="n">
        <v>1</v>
      </c>
    </row>
    <row r="279" ht="20.5" customFormat="1" customHeight="1" s="39">
      <c r="A279" s="41" t="n"/>
      <c r="B279" s="42" t="n"/>
      <c r="C279" s="42" t="n"/>
      <c r="D279" s="42" t="n"/>
      <c r="E279" s="42" t="n">
        <v>0</v>
      </c>
      <c r="F279" s="41">
        <f>A279</f>
        <v/>
      </c>
      <c r="G279" s="42" t="n"/>
      <c r="H279" s="42" t="n">
        <v>0</v>
      </c>
      <c r="I279" s="42" t="n">
        <v>1</v>
      </c>
    </row>
    <row r="280" ht="20.5" customFormat="1" customHeight="1" s="39">
      <c r="A280" s="41" t="n"/>
      <c r="B280" s="42" t="n"/>
      <c r="C280" s="42" t="n"/>
      <c r="D280" s="42" t="n"/>
      <c r="E280" s="42" t="n">
        <v>0</v>
      </c>
      <c r="F280" s="41">
        <f>A280</f>
        <v/>
      </c>
      <c r="G280" s="42" t="n"/>
      <c r="H280" s="42" t="n">
        <v>0</v>
      </c>
      <c r="I280" s="42" t="n">
        <v>1</v>
      </c>
    </row>
    <row r="281" ht="20.5" customFormat="1" customHeight="1" s="39">
      <c r="A281" s="41" t="n"/>
      <c r="B281" s="42" t="n"/>
      <c r="C281" s="42" t="n"/>
      <c r="D281" s="42" t="n"/>
      <c r="E281" s="42" t="n">
        <v>0</v>
      </c>
      <c r="F281" s="41">
        <f>A281</f>
        <v/>
      </c>
      <c r="G281" s="42" t="n"/>
      <c r="H281" s="42" t="n">
        <v>0</v>
      </c>
      <c r="I281" s="42" t="n">
        <v>1</v>
      </c>
    </row>
    <row r="282" ht="20.5" customFormat="1" customHeight="1" s="39">
      <c r="A282" s="41" t="n"/>
      <c r="B282" s="42" t="n"/>
      <c r="C282" s="42" t="n"/>
      <c r="D282" s="42" t="n"/>
      <c r="E282" s="42" t="n">
        <v>0</v>
      </c>
      <c r="F282" s="41">
        <f>A282</f>
        <v/>
      </c>
      <c r="G282" s="42" t="n"/>
      <c r="H282" s="42" t="n">
        <v>0</v>
      </c>
      <c r="I282" s="42" t="n">
        <v>1</v>
      </c>
    </row>
    <row r="283" ht="20.5" customFormat="1" customHeight="1" s="39">
      <c r="A283" s="41" t="n"/>
      <c r="B283" s="42" t="n"/>
      <c r="C283" s="42" t="n"/>
      <c r="D283" s="42" t="n"/>
      <c r="E283" s="42" t="n">
        <v>0</v>
      </c>
      <c r="F283" s="41">
        <f>A283</f>
        <v/>
      </c>
      <c r="G283" s="42" t="n"/>
      <c r="H283" s="42" t="n">
        <v>0</v>
      </c>
      <c r="I283" s="42" t="n">
        <v>1</v>
      </c>
    </row>
    <row r="284" ht="20.5" customFormat="1" customHeight="1" s="39">
      <c r="A284" s="41" t="n"/>
      <c r="B284" s="42" t="n"/>
      <c r="C284" s="42" t="n"/>
      <c r="D284" s="42" t="n"/>
      <c r="E284" s="42" t="n">
        <v>0</v>
      </c>
      <c r="F284" s="41">
        <f>A284</f>
        <v/>
      </c>
      <c r="G284" s="42" t="n"/>
      <c r="H284" s="42" t="n">
        <v>0</v>
      </c>
      <c r="I284" s="42" t="n">
        <v>1</v>
      </c>
    </row>
    <row r="285" ht="20.5" customFormat="1" customHeight="1" s="39">
      <c r="A285" s="41" t="n"/>
      <c r="B285" s="42" t="n"/>
      <c r="C285" s="42" t="n"/>
      <c r="D285" s="42" t="n"/>
      <c r="E285" s="42" t="n">
        <v>0</v>
      </c>
      <c r="F285" s="41">
        <f>A285</f>
        <v/>
      </c>
      <c r="G285" s="42" t="n"/>
      <c r="H285" s="42" t="n">
        <v>0</v>
      </c>
      <c r="I285" s="42" t="n">
        <v>1</v>
      </c>
    </row>
    <row r="286" ht="20.5" customFormat="1" customHeight="1" s="39">
      <c r="A286" s="41" t="n"/>
      <c r="B286" s="42" t="n"/>
      <c r="C286" s="42" t="n"/>
      <c r="D286" s="42" t="n"/>
      <c r="E286" s="42" t="n">
        <v>0</v>
      </c>
      <c r="F286" s="41">
        <f>A286</f>
        <v/>
      </c>
      <c r="G286" s="42" t="n"/>
      <c r="H286" s="42" t="n">
        <v>0</v>
      </c>
      <c r="I286" s="42" t="n">
        <v>1</v>
      </c>
    </row>
    <row r="287" ht="20.5" customFormat="1" customHeight="1" s="39">
      <c r="A287" s="41" t="n"/>
      <c r="B287" s="42" t="n"/>
      <c r="C287" s="42" t="n"/>
      <c r="D287" s="42" t="n"/>
      <c r="E287" s="42" t="n">
        <v>0</v>
      </c>
      <c r="F287" s="41">
        <f>A287</f>
        <v/>
      </c>
      <c r="G287" s="42" t="n"/>
      <c r="H287" s="42" t="n">
        <v>0</v>
      </c>
      <c r="I287" s="42" t="n">
        <v>1</v>
      </c>
    </row>
    <row r="288" ht="20.5" customFormat="1" customHeight="1" s="39">
      <c r="A288" s="41" t="n"/>
      <c r="B288" s="42" t="n"/>
      <c r="C288" s="42" t="n"/>
      <c r="D288" s="42" t="n"/>
      <c r="E288" s="42" t="n">
        <v>0</v>
      </c>
      <c r="F288" s="41">
        <f>A288</f>
        <v/>
      </c>
      <c r="G288" s="42" t="n"/>
      <c r="H288" s="42" t="n">
        <v>0</v>
      </c>
      <c r="I288" s="42" t="n">
        <v>1</v>
      </c>
    </row>
    <row r="289" ht="20.5" customFormat="1" customHeight="1" s="39">
      <c r="A289" s="41" t="n"/>
      <c r="B289" s="42" t="n"/>
      <c r="C289" s="42" t="n"/>
      <c r="D289" s="42" t="n"/>
      <c r="E289" s="42" t="n">
        <v>0</v>
      </c>
      <c r="F289" s="41">
        <f>A289</f>
        <v/>
      </c>
      <c r="G289" s="42" t="n"/>
      <c r="H289" s="42" t="n">
        <v>0</v>
      </c>
      <c r="I289" s="42" t="n">
        <v>1</v>
      </c>
    </row>
    <row r="290" ht="20.5" customFormat="1" customHeight="1" s="39">
      <c r="A290" s="41" t="n"/>
      <c r="B290" s="42" t="n"/>
      <c r="C290" s="42" t="n"/>
      <c r="D290" s="42" t="n"/>
      <c r="E290" s="42" t="n">
        <v>0</v>
      </c>
      <c r="F290" s="41">
        <f>A290</f>
        <v/>
      </c>
      <c r="G290" s="42" t="n"/>
      <c r="H290" s="42" t="n">
        <v>0</v>
      </c>
      <c r="I290" s="42" t="n">
        <v>1</v>
      </c>
    </row>
    <row r="291" ht="20.5" customFormat="1" customHeight="1" s="39">
      <c r="A291" s="41" t="n"/>
      <c r="B291" s="42" t="n"/>
      <c r="C291" s="42" t="n"/>
      <c r="D291" s="42" t="n"/>
      <c r="E291" s="42" t="n">
        <v>0</v>
      </c>
      <c r="F291" s="41">
        <f>A291</f>
        <v/>
      </c>
      <c r="G291" s="42" t="n"/>
      <c r="H291" s="42" t="n">
        <v>0</v>
      </c>
      <c r="I291" s="42" t="n">
        <v>1</v>
      </c>
    </row>
    <row r="292" ht="20.5" customFormat="1" customHeight="1" s="39">
      <c r="A292" s="41" t="n"/>
      <c r="B292" s="42" t="n"/>
      <c r="C292" s="42" t="n"/>
      <c r="D292" s="42" t="n"/>
      <c r="E292" s="42" t="n">
        <v>0</v>
      </c>
      <c r="F292" s="41">
        <f>A292</f>
        <v/>
      </c>
      <c r="G292" s="42" t="n"/>
      <c r="H292" s="42" t="n">
        <v>0</v>
      </c>
      <c r="I292" s="42" t="n">
        <v>1</v>
      </c>
    </row>
    <row r="293" ht="20.5" customFormat="1" customHeight="1" s="39">
      <c r="A293" s="41" t="n"/>
      <c r="B293" s="42" t="n"/>
      <c r="C293" s="42" t="n"/>
      <c r="D293" s="42" t="n"/>
      <c r="E293" s="42" t="n">
        <v>0</v>
      </c>
      <c r="F293" s="41">
        <f>A293</f>
        <v/>
      </c>
      <c r="G293" s="42" t="n"/>
      <c r="H293" s="42" t="n">
        <v>0</v>
      </c>
      <c r="I293" s="42" t="n">
        <v>1</v>
      </c>
    </row>
    <row r="294" ht="20.5" customFormat="1" customHeight="1" s="39">
      <c r="A294" s="41" t="n"/>
      <c r="B294" s="42" t="n"/>
      <c r="C294" s="42" t="n"/>
      <c r="D294" s="42" t="n"/>
      <c r="E294" s="42" t="n">
        <v>0</v>
      </c>
      <c r="F294" s="41">
        <f>A294</f>
        <v/>
      </c>
      <c r="G294" s="42" t="n"/>
      <c r="H294" s="42" t="n">
        <v>0</v>
      </c>
      <c r="I294" s="42" t="n">
        <v>1</v>
      </c>
    </row>
    <row r="295" ht="20.5" customFormat="1" customHeight="1" s="39">
      <c r="A295" s="41" t="n"/>
      <c r="B295" s="42" t="n"/>
      <c r="C295" s="42" t="n"/>
      <c r="D295" s="42" t="n"/>
      <c r="E295" s="42" t="n">
        <v>0</v>
      </c>
      <c r="F295" s="41">
        <f>A295</f>
        <v/>
      </c>
      <c r="G295" s="42" t="n"/>
      <c r="H295" s="42" t="n">
        <v>0</v>
      </c>
      <c r="I295" s="42" t="n">
        <v>1</v>
      </c>
    </row>
    <row r="296" ht="20.5" customFormat="1" customHeight="1" s="39">
      <c r="A296" s="41" t="n"/>
      <c r="B296" s="42" t="n"/>
      <c r="C296" s="42" t="n"/>
      <c r="D296" s="42" t="n"/>
      <c r="E296" s="42" t="n">
        <v>0</v>
      </c>
      <c r="F296" s="41">
        <f>A296</f>
        <v/>
      </c>
      <c r="G296" s="42" t="n"/>
      <c r="H296" s="42" t="n">
        <v>0</v>
      </c>
      <c r="I296" s="42" t="n">
        <v>1</v>
      </c>
    </row>
    <row r="297" ht="20.5" customFormat="1" customHeight="1" s="39">
      <c r="A297" s="41" t="n"/>
      <c r="B297" s="42" t="n"/>
      <c r="C297" s="42" t="n"/>
      <c r="D297" s="42" t="n"/>
      <c r="E297" s="42" t="n">
        <v>0</v>
      </c>
      <c r="F297" s="41">
        <f>A297</f>
        <v/>
      </c>
      <c r="G297" s="42" t="n"/>
      <c r="H297" s="42" t="n">
        <v>0</v>
      </c>
      <c r="I297" s="42" t="n">
        <v>1</v>
      </c>
    </row>
    <row r="298" ht="20.5" customFormat="1" customHeight="1" s="39">
      <c r="A298" s="41" t="n"/>
      <c r="B298" s="42" t="n"/>
      <c r="C298" s="42" t="n"/>
      <c r="D298" s="42" t="n"/>
      <c r="E298" s="42" t="n">
        <v>0</v>
      </c>
      <c r="F298" s="41">
        <f>A298</f>
        <v/>
      </c>
      <c r="G298" s="42" t="n"/>
      <c r="H298" s="42" t="n">
        <v>0</v>
      </c>
      <c r="I298" s="42" t="n">
        <v>1</v>
      </c>
    </row>
    <row r="299" ht="20.5" customFormat="1" customHeight="1" s="39">
      <c r="A299" s="41" t="n"/>
      <c r="B299" s="42" t="n"/>
      <c r="C299" s="42" t="n"/>
      <c r="D299" s="42" t="n"/>
      <c r="E299" s="42" t="n">
        <v>0</v>
      </c>
      <c r="F299" s="41">
        <f>A299</f>
        <v/>
      </c>
      <c r="G299" s="42" t="n"/>
      <c r="H299" s="42" t="n">
        <v>0</v>
      </c>
      <c r="I299" s="42" t="n">
        <v>1</v>
      </c>
    </row>
    <row r="300" ht="20.5" customFormat="1" customHeight="1" s="39">
      <c r="A300" s="41" t="n"/>
      <c r="B300" s="42" t="n"/>
      <c r="C300" s="42" t="n"/>
      <c r="D300" s="42" t="n"/>
      <c r="E300" s="42" t="n">
        <v>0</v>
      </c>
      <c r="F300" s="41">
        <f>A300</f>
        <v/>
      </c>
      <c r="G300" s="42" t="n"/>
      <c r="H300" s="42" t="n">
        <v>0</v>
      </c>
      <c r="I300" s="42" t="n">
        <v>1</v>
      </c>
    </row>
    <row r="301" ht="20.5" customFormat="1" customHeight="1" s="39">
      <c r="A301" s="41" t="n"/>
      <c r="B301" s="42" t="n"/>
      <c r="C301" s="42" t="n"/>
      <c r="D301" s="42" t="n"/>
      <c r="E301" s="42" t="n">
        <v>0</v>
      </c>
      <c r="F301" s="41">
        <f>A301</f>
        <v/>
      </c>
      <c r="G301" s="42" t="n"/>
      <c r="H301" s="42" t="n">
        <v>0</v>
      </c>
      <c r="I301" s="42" t="n">
        <v>1</v>
      </c>
    </row>
    <row r="302" ht="20.5" customFormat="1" customHeight="1" s="39">
      <c r="A302" s="41" t="n"/>
      <c r="B302" s="42" t="n"/>
      <c r="C302" s="42" t="n"/>
      <c r="D302" s="42" t="n"/>
      <c r="E302" s="42" t="n">
        <v>0</v>
      </c>
      <c r="F302" s="41">
        <f>A302</f>
        <v/>
      </c>
      <c r="G302" s="42" t="n"/>
      <c r="H302" s="42" t="n">
        <v>0</v>
      </c>
      <c r="I302" s="42" t="n">
        <v>1</v>
      </c>
    </row>
    <row r="303" ht="20.5" customFormat="1" customHeight="1" s="39">
      <c r="A303" s="41" t="n"/>
      <c r="B303" s="42" t="n"/>
      <c r="C303" s="42" t="n"/>
      <c r="D303" s="42" t="n"/>
      <c r="E303" s="42" t="n">
        <v>0</v>
      </c>
      <c r="F303" s="41">
        <f>A303</f>
        <v/>
      </c>
      <c r="G303" s="42" t="n"/>
      <c r="H303" s="42" t="n">
        <v>0</v>
      </c>
      <c r="I303" s="42" t="n">
        <v>1</v>
      </c>
    </row>
    <row r="304" ht="20.5" customFormat="1" customHeight="1" s="39">
      <c r="A304" s="41" t="n"/>
      <c r="B304" s="42" t="n"/>
      <c r="C304" s="42" t="n"/>
      <c r="D304" s="42" t="n"/>
      <c r="E304" s="42" t="n">
        <v>0</v>
      </c>
      <c r="F304" s="41">
        <f>A304</f>
        <v/>
      </c>
      <c r="G304" s="42" t="n"/>
      <c r="H304" s="42" t="n">
        <v>0</v>
      </c>
      <c r="I304" s="42" t="n">
        <v>1</v>
      </c>
    </row>
    <row r="305" ht="20.5" customFormat="1" customHeight="1" s="39">
      <c r="A305" s="41" t="n"/>
      <c r="B305" s="42" t="n"/>
      <c r="C305" s="42" t="n"/>
      <c r="D305" s="42" t="n"/>
      <c r="E305" s="42" t="n">
        <v>0</v>
      </c>
      <c r="F305" s="41">
        <f>A305</f>
        <v/>
      </c>
      <c r="G305" s="42" t="n"/>
      <c r="H305" s="42" t="n">
        <v>0</v>
      </c>
      <c r="I305" s="42" t="n">
        <v>1</v>
      </c>
    </row>
    <row r="306" ht="20.5" customFormat="1" customHeight="1" s="39">
      <c r="A306" s="41" t="n"/>
      <c r="B306" s="42" t="n"/>
      <c r="C306" s="42" t="n"/>
      <c r="D306" s="42" t="n"/>
      <c r="E306" s="42" t="n">
        <v>0</v>
      </c>
      <c r="F306" s="41">
        <f>A306</f>
        <v/>
      </c>
      <c r="G306" s="42" t="n"/>
      <c r="H306" s="42" t="n">
        <v>0</v>
      </c>
      <c r="I306" s="42" t="n">
        <v>1</v>
      </c>
    </row>
    <row r="307" ht="20.5" customFormat="1" customHeight="1" s="39">
      <c r="A307" s="41" t="n"/>
      <c r="B307" s="42" t="n"/>
      <c r="C307" s="42" t="n"/>
      <c r="D307" s="42" t="n"/>
      <c r="E307" s="42" t="n">
        <v>0</v>
      </c>
      <c r="F307" s="41">
        <f>A307</f>
        <v/>
      </c>
      <c r="G307" s="42" t="n"/>
      <c r="H307" s="42" t="n">
        <v>0</v>
      </c>
      <c r="I307" s="42" t="n">
        <v>1</v>
      </c>
    </row>
    <row r="308" ht="20.5" customFormat="1" customHeight="1" s="39">
      <c r="A308" s="41" t="n"/>
      <c r="B308" s="42" t="n"/>
      <c r="C308" s="42" t="n"/>
      <c r="D308" s="42" t="n"/>
      <c r="E308" s="42" t="n">
        <v>0</v>
      </c>
      <c r="F308" s="41">
        <f>A308</f>
        <v/>
      </c>
      <c r="G308" s="42" t="n"/>
      <c r="H308" s="42" t="n">
        <v>0</v>
      </c>
      <c r="I308" s="42" t="n">
        <v>1</v>
      </c>
    </row>
    <row r="309" ht="20.5" customFormat="1" customHeight="1" s="39">
      <c r="A309" s="41" t="n"/>
      <c r="B309" s="42" t="n"/>
      <c r="C309" s="42" t="n"/>
      <c r="D309" s="42" t="n"/>
      <c r="E309" s="42" t="n">
        <v>0</v>
      </c>
      <c r="F309" s="41">
        <f>A309</f>
        <v/>
      </c>
      <c r="G309" s="42" t="n"/>
      <c r="H309" s="42" t="n">
        <v>0</v>
      </c>
      <c r="I309" s="42" t="n">
        <v>1</v>
      </c>
    </row>
    <row r="310" ht="20.5" customFormat="1" customHeight="1" s="39">
      <c r="A310" s="41" t="n"/>
      <c r="B310" s="42" t="n"/>
      <c r="C310" s="42" t="n"/>
      <c r="D310" s="42" t="n"/>
      <c r="E310" s="42" t="n">
        <v>0</v>
      </c>
      <c r="F310" s="41">
        <f>A310</f>
        <v/>
      </c>
      <c r="G310" s="42" t="n"/>
      <c r="H310" s="42" t="n">
        <v>0</v>
      </c>
      <c r="I310" s="42" t="n">
        <v>1</v>
      </c>
    </row>
    <row r="311" ht="20.5" customFormat="1" customHeight="1" s="39">
      <c r="A311" s="41" t="n"/>
      <c r="B311" s="42" t="n"/>
      <c r="C311" s="42" t="n"/>
      <c r="D311" s="42" t="n"/>
      <c r="E311" s="42" t="n">
        <v>0</v>
      </c>
      <c r="F311" s="41">
        <f>A311</f>
        <v/>
      </c>
      <c r="G311" s="42" t="n"/>
      <c r="H311" s="42" t="n">
        <v>0</v>
      </c>
      <c r="I311" s="42" t="n">
        <v>1</v>
      </c>
    </row>
    <row r="312" ht="20.5" customFormat="1" customHeight="1" s="39">
      <c r="A312" s="41" t="n"/>
      <c r="B312" s="42" t="n"/>
      <c r="C312" s="42" t="n"/>
      <c r="D312" s="42" t="n"/>
      <c r="E312" s="42" t="n">
        <v>0</v>
      </c>
      <c r="F312" s="41">
        <f>A312</f>
        <v/>
      </c>
      <c r="G312" s="42" t="n"/>
      <c r="H312" s="42" t="n">
        <v>0</v>
      </c>
      <c r="I312" s="42" t="n">
        <v>1</v>
      </c>
    </row>
    <row r="313" ht="20.5" customFormat="1" customHeight="1" s="39">
      <c r="A313" s="41" t="n"/>
      <c r="B313" s="42" t="n"/>
      <c r="C313" s="42" t="n"/>
      <c r="D313" s="42" t="n"/>
      <c r="E313" s="42" t="n">
        <v>0</v>
      </c>
      <c r="F313" s="41">
        <f>A313</f>
        <v/>
      </c>
      <c r="G313" s="42" t="n"/>
      <c r="H313" s="42" t="n">
        <v>0</v>
      </c>
      <c r="I313" s="42" t="n">
        <v>1</v>
      </c>
    </row>
    <row r="314" ht="20.5" customFormat="1" customHeight="1" s="39">
      <c r="A314" s="41" t="n"/>
      <c r="B314" s="42" t="n"/>
      <c r="C314" s="42" t="n"/>
      <c r="D314" s="42" t="n"/>
      <c r="E314" s="42" t="n">
        <v>0</v>
      </c>
      <c r="F314" s="41">
        <f>A314</f>
        <v/>
      </c>
      <c r="G314" s="42" t="n"/>
      <c r="H314" s="42" t="n">
        <v>0</v>
      </c>
      <c r="I314" s="42" t="n">
        <v>1</v>
      </c>
    </row>
    <row r="315" ht="20.5" customFormat="1" customHeight="1" s="39">
      <c r="A315" s="41" t="n"/>
      <c r="B315" s="42" t="n"/>
      <c r="C315" s="42" t="n"/>
      <c r="D315" s="42" t="n"/>
      <c r="E315" s="42" t="n">
        <v>0</v>
      </c>
      <c r="F315" s="41">
        <f>A315</f>
        <v/>
      </c>
      <c r="G315" s="42" t="n"/>
      <c r="H315" s="42" t="n">
        <v>0</v>
      </c>
      <c r="I315" s="42" t="n">
        <v>1</v>
      </c>
    </row>
    <row r="316" ht="18" customFormat="1" customHeight="1" s="39">
      <c r="A316" s="41" t="n"/>
      <c r="B316" s="42" t="n"/>
      <c r="C316" s="42" t="n"/>
      <c r="D316" s="42" t="n"/>
      <c r="E316" s="42" t="n">
        <v>0</v>
      </c>
      <c r="F316" s="41">
        <f>A316</f>
        <v/>
      </c>
      <c r="G316" s="42" t="n"/>
      <c r="H316" s="42" t="n">
        <v>0</v>
      </c>
      <c r="I316" s="42" t="n">
        <v>1</v>
      </c>
    </row>
    <row r="317" ht="18" customFormat="1" customHeight="1" s="39">
      <c r="A317" s="41" t="n"/>
      <c r="B317" s="42" t="n"/>
      <c r="C317" s="42" t="n"/>
      <c r="D317" s="42" t="n"/>
      <c r="E317" s="42" t="n">
        <v>0</v>
      </c>
      <c r="F317" s="41">
        <f>A317</f>
        <v/>
      </c>
      <c r="G317" s="42" t="n"/>
      <c r="H317" s="42" t="n">
        <v>0</v>
      </c>
      <c r="I317" s="42" t="n">
        <v>1</v>
      </c>
    </row>
    <row r="318" ht="18" customFormat="1" customHeight="1" s="39">
      <c r="A318" s="41" t="inlineStr">
        <is>
          <t>10</t>
        </is>
      </c>
      <c r="B318" s="42" t="n"/>
      <c r="C318" s="42" t="n"/>
      <c r="D318" s="42" t="n"/>
      <c r="E318" s="42" t="n">
        <v>0</v>
      </c>
      <c r="F318" s="41">
        <f>A318</f>
        <v/>
      </c>
      <c r="G318" s="42" t="n"/>
      <c r="H318" s="42" t="n">
        <v>0</v>
      </c>
      <c r="I318" s="42" t="n">
        <v>1</v>
      </c>
    </row>
    <row r="319" ht="18" customFormat="1" customHeight="1" s="39">
      <c r="A319" s="41" t="n"/>
      <c r="B319" s="42" t="n"/>
      <c r="C319" s="42" t="n"/>
      <c r="D319" s="42" t="n"/>
      <c r="E319" s="42" t="n">
        <v>0</v>
      </c>
      <c r="F319" s="41">
        <f>A319</f>
        <v/>
      </c>
      <c r="G319" s="42" t="n"/>
      <c r="H319" s="42" t="n">
        <v>0</v>
      </c>
      <c r="I319" s="42" t="n">
        <v>1</v>
      </c>
    </row>
    <row r="320" ht="18" customFormat="1" customHeight="1" s="39">
      <c r="A320" s="41" t="n"/>
      <c r="B320" s="42" t="n"/>
      <c r="C320" s="42" t="n"/>
      <c r="D320" s="42" t="n"/>
      <c r="E320" s="42" t="n">
        <v>0</v>
      </c>
      <c r="F320" s="41">
        <f>A320</f>
        <v/>
      </c>
      <c r="G320" s="42" t="n"/>
      <c r="H320" s="42" t="n">
        <v>0</v>
      </c>
      <c r="I320" s="42" t="n">
        <v>1</v>
      </c>
    </row>
    <row r="321" ht="18" customFormat="1" customHeight="1" s="39">
      <c r="A321" s="41" t="n"/>
      <c r="B321" s="42" t="n"/>
      <c r="C321" s="42" t="n"/>
      <c r="D321" s="42" t="n"/>
      <c r="E321" s="42" t="n">
        <v>0</v>
      </c>
      <c r="F321" s="41">
        <f>A321</f>
        <v/>
      </c>
      <c r="G321" s="42" t="n"/>
      <c r="H321" s="42" t="n">
        <v>0</v>
      </c>
      <c r="I321" s="42" t="n">
        <v>1</v>
      </c>
    </row>
    <row r="322" ht="18" customFormat="1" customHeight="1" s="39">
      <c r="A322" s="41" t="n"/>
      <c r="B322" s="42" t="n"/>
      <c r="C322" s="42" t="n"/>
      <c r="D322" s="42" t="n"/>
      <c r="E322" s="42" t="n">
        <v>0</v>
      </c>
      <c r="F322" s="41">
        <f>A322</f>
        <v/>
      </c>
      <c r="G322" s="42" t="n"/>
      <c r="H322" s="42" t="n">
        <v>0</v>
      </c>
      <c r="I322" s="42" t="n">
        <v>1</v>
      </c>
    </row>
    <row r="323" ht="18" customFormat="1" customHeight="1" s="39">
      <c r="A323" s="41" t="n"/>
      <c r="B323" s="42" t="n"/>
      <c r="C323" s="42" t="n"/>
      <c r="D323" s="42" t="n"/>
      <c r="E323" s="42" t="n">
        <v>0</v>
      </c>
      <c r="F323" s="41">
        <f>A323</f>
        <v/>
      </c>
      <c r="G323" s="42" t="n"/>
      <c r="H323" s="42" t="n">
        <v>0</v>
      </c>
      <c r="I323" s="42" t="n">
        <v>1</v>
      </c>
    </row>
    <row r="324" ht="18" customFormat="1" customHeight="1" s="39">
      <c r="A324" s="41" t="n"/>
      <c r="B324" s="42" t="n"/>
      <c r="C324" s="42" t="n"/>
      <c r="D324" s="42" t="n"/>
      <c r="E324" s="42" t="n">
        <v>0</v>
      </c>
      <c r="F324" s="41">
        <f>A324</f>
        <v/>
      </c>
      <c r="G324" s="42" t="n"/>
      <c r="H324" s="42" t="n">
        <v>0</v>
      </c>
      <c r="I324" s="42" t="n">
        <v>1</v>
      </c>
    </row>
    <row r="325" ht="18" customFormat="1" customHeight="1" s="39">
      <c r="A325" s="42" t="n"/>
      <c r="B325" s="42" t="n"/>
      <c r="C325" s="42" t="n"/>
      <c r="D325" s="42" t="n"/>
      <c r="E325" s="42" t="n">
        <v>0</v>
      </c>
      <c r="F325" s="41">
        <f>A325</f>
        <v/>
      </c>
      <c r="G325" s="42" t="n"/>
      <c r="H325" s="42" t="n">
        <v>0</v>
      </c>
      <c r="I325" s="42" t="n">
        <v>1</v>
      </c>
    </row>
    <row r="326" ht="18" customFormat="1" customHeight="1" s="39">
      <c r="A326" s="42" t="n"/>
      <c r="B326" s="42" t="n"/>
      <c r="C326" s="42" t="n"/>
      <c r="D326" s="42" t="n"/>
      <c r="E326" s="42" t="n">
        <v>0</v>
      </c>
      <c r="F326" s="41">
        <f>A326</f>
        <v/>
      </c>
      <c r="G326" s="42" t="n"/>
      <c r="H326" s="42" t="n">
        <v>0</v>
      </c>
      <c r="I326" s="4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D14" sqref="D14"/>
    </sheetView>
  </sheetViews>
  <sheetFormatPr baseColWidth="8" defaultRowHeight="12.5"/>
  <cols>
    <col width="32.7265625" customWidth="1" min="1" max="1"/>
    <col width="14.26953125" customWidth="1" min="2" max="2"/>
    <col width="14.1796875" customWidth="1" min="3" max="3"/>
    <col width="26.81640625" customWidth="1" min="6" max="6"/>
    <col width="15.7265625" customWidth="1" min="8" max="8"/>
  </cols>
  <sheetData>
    <row r="1" ht="20.5" customFormat="1" customHeight="1" s="39">
      <c r="A1" s="40" t="inlineStr">
        <is>
          <t>Item</t>
        </is>
      </c>
      <c r="B1" s="41" t="inlineStr">
        <is>
          <t>Material Code</t>
        </is>
      </c>
      <c r="C1" s="41" t="inlineStr">
        <is>
          <t>Price</t>
        </is>
      </c>
      <c r="D1" s="42" t="n"/>
      <c r="E1" s="42" t="n"/>
      <c r="F1" s="42" t="n"/>
      <c r="G1" s="42" t="n"/>
      <c r="H1" s="42" t="n"/>
      <c r="I1" s="42" t="n"/>
    </row>
    <row r="2" ht="20.9" customFormat="1" customHeight="1" s="39">
      <c r="A2" s="40" t="n"/>
      <c r="B2" s="43" t="n"/>
      <c r="C2" s="42" t="n"/>
      <c r="D2" s="42" t="n"/>
      <c r="E2" s="42" t="n"/>
      <c r="F2" s="42" t="n"/>
      <c r="G2" s="42" t="n"/>
      <c r="H2" s="42" t="n"/>
      <c r="I2" s="42" t="n"/>
    </row>
    <row r="3" ht="21.25" customFormat="1" customHeight="1" s="39">
      <c r="A3" s="40" t="inlineStr">
        <is>
          <t>1/4” Flex</t>
        </is>
      </c>
      <c r="B3" s="41" t="inlineStr">
        <is>
          <t>14f</t>
        </is>
      </c>
      <c r="C3" s="44" t="n">
        <v>0.6</v>
      </c>
      <c r="D3" s="42" t="n"/>
      <c r="E3" s="41" t="inlineStr">
        <is>
          <t>14f</t>
        </is>
      </c>
      <c r="F3" s="41">
        <f>A3</f>
        <v/>
      </c>
      <c r="G3" s="42" t="n"/>
      <c r="H3" s="41" t="inlineStr">
        <is>
          <t>14f</t>
        </is>
      </c>
      <c r="I3" s="41" t="inlineStr">
        <is>
          <t>Sqft</t>
        </is>
      </c>
    </row>
    <row r="4" ht="21.25" customFormat="1" customHeight="1" s="39">
      <c r="A4" s="40" t="inlineStr">
        <is>
          <t>1/2” Std</t>
        </is>
      </c>
      <c r="B4" s="41" t="inlineStr">
        <is>
          <t>12std</t>
        </is>
      </c>
      <c r="C4" s="44" t="n">
        <v>0.455</v>
      </c>
      <c r="D4" s="42" t="n"/>
      <c r="E4" s="41" t="inlineStr">
        <is>
          <t>12std</t>
        </is>
      </c>
      <c r="F4" s="41">
        <f>A4</f>
        <v/>
      </c>
      <c r="G4" s="42" t="n"/>
      <c r="H4" s="41" t="inlineStr">
        <is>
          <t>12std</t>
        </is>
      </c>
      <c r="I4" s="41" t="inlineStr">
        <is>
          <t>Sqft</t>
        </is>
      </c>
    </row>
    <row r="5" ht="21.25" customFormat="1" customHeight="1" s="39">
      <c r="A5" s="40" t="inlineStr">
        <is>
          <t>1/2” CD</t>
        </is>
      </c>
      <c r="B5" s="41" t="inlineStr">
        <is>
          <t>12cd</t>
        </is>
      </c>
      <c r="C5" s="44" t="n">
        <v>0.63</v>
      </c>
      <c r="D5" s="42" t="n"/>
      <c r="E5" s="41" t="inlineStr">
        <is>
          <t>12cd</t>
        </is>
      </c>
      <c r="F5" s="41">
        <f>A5</f>
        <v/>
      </c>
      <c r="G5" s="42" t="n"/>
      <c r="H5" s="41" t="inlineStr">
        <is>
          <t>12cd</t>
        </is>
      </c>
      <c r="I5" s="41" t="inlineStr">
        <is>
          <t>Sqft</t>
        </is>
      </c>
    </row>
    <row r="6" ht="21.25" customFormat="1" customHeight="1" s="39">
      <c r="A6" s="40" t="inlineStr">
        <is>
          <t>1/2” Std 54”</t>
        </is>
      </c>
      <c r="B6" s="41" t="inlineStr">
        <is>
          <t>54STD</t>
        </is>
      </c>
      <c r="C6" s="44" t="n">
        <v>0.5827</v>
      </c>
      <c r="D6" s="42" t="n"/>
      <c r="E6" s="41" t="inlineStr">
        <is>
          <t>54STD</t>
        </is>
      </c>
      <c r="F6" s="41">
        <f>A6</f>
        <v/>
      </c>
      <c r="G6" s="42" t="n"/>
      <c r="H6" s="41" t="inlineStr">
        <is>
          <t>54STD</t>
        </is>
      </c>
      <c r="I6" s="41" t="inlineStr">
        <is>
          <t>Sqft</t>
        </is>
      </c>
    </row>
    <row r="7" ht="21.25" customFormat="1" customHeight="1" s="39">
      <c r="A7" s="40" t="inlineStr">
        <is>
          <t>1/2” Type C</t>
        </is>
      </c>
      <c r="B7" s="41" t="inlineStr">
        <is>
          <t>12tc</t>
        </is>
      </c>
      <c r="C7" s="44" t="n">
        <v>0.574</v>
      </c>
      <c r="D7" s="42" t="n"/>
      <c r="E7" s="41" t="inlineStr">
        <is>
          <t>12tc</t>
        </is>
      </c>
      <c r="F7" s="41">
        <f>A7</f>
        <v/>
      </c>
      <c r="G7" s="42" t="n"/>
      <c r="H7" s="41" t="inlineStr">
        <is>
          <t>12tc</t>
        </is>
      </c>
      <c r="I7" s="41" t="inlineStr">
        <is>
          <t>Sqft</t>
        </is>
      </c>
    </row>
    <row r="8" ht="21.25" customFormat="1" customHeight="1" s="39">
      <c r="A8" s="40" t="inlineStr">
        <is>
          <t>1/2” Mould Resistant</t>
        </is>
      </c>
      <c r="B8" s="41" t="inlineStr">
        <is>
          <t>12mr</t>
        </is>
      </c>
      <c r="C8" s="44" t="n">
        <v>1.1852</v>
      </c>
      <c r="D8" s="42" t="n"/>
      <c r="E8" s="41" t="inlineStr">
        <is>
          <t>12mr</t>
        </is>
      </c>
      <c r="F8" s="41">
        <f>A8</f>
        <v/>
      </c>
      <c r="G8" s="42" t="n"/>
      <c r="H8" s="41" t="inlineStr">
        <is>
          <t>12mr</t>
        </is>
      </c>
      <c r="I8" s="41" t="inlineStr">
        <is>
          <t>Sqft</t>
        </is>
      </c>
    </row>
    <row r="9" ht="21.25" customFormat="1" customHeight="1" s="39">
      <c r="A9" s="40" t="inlineStr">
        <is>
          <t>5/8” Type X</t>
        </is>
      </c>
      <c r="B9" s="41" t="inlineStr">
        <is>
          <t>58tx</t>
        </is>
      </c>
      <c r="C9" s="44" t="n">
        <v>0.555</v>
      </c>
      <c r="D9" s="42" t="n"/>
      <c r="E9" s="41" t="inlineStr">
        <is>
          <t>58tx</t>
        </is>
      </c>
      <c r="F9" s="41">
        <f>A9</f>
        <v/>
      </c>
      <c r="G9" s="42" t="n"/>
      <c r="H9" s="41" t="inlineStr">
        <is>
          <t>58tx</t>
        </is>
      </c>
      <c r="I9" s="41" t="inlineStr">
        <is>
          <t>Sqft</t>
        </is>
      </c>
    </row>
    <row r="10" ht="21.25" customFormat="1" customHeight="1" s="39">
      <c r="A10" s="40" t="inlineStr">
        <is>
          <t>5/8” Mould Resistant</t>
        </is>
      </c>
      <c r="B10" s="41" t="inlineStr">
        <is>
          <t>58mr</t>
        </is>
      </c>
      <c r="C10" s="44" t="n">
        <v>1.314</v>
      </c>
      <c r="D10" s="42" t="n"/>
      <c r="E10" s="41" t="inlineStr">
        <is>
          <t>58mr</t>
        </is>
      </c>
      <c r="F10" s="41">
        <f>A10</f>
        <v/>
      </c>
      <c r="G10" s="42" t="n"/>
      <c r="H10" s="41" t="inlineStr">
        <is>
          <t>58mr</t>
        </is>
      </c>
      <c r="I10" s="41" t="inlineStr">
        <is>
          <t>Sqft</t>
        </is>
      </c>
    </row>
    <row r="11" ht="21.25" customFormat="1" customHeight="1" s="39">
      <c r="A11" s="40" t="inlineStr">
        <is>
          <t>5/8” Type X 54”</t>
        </is>
      </c>
      <c r="B11" s="41" t="inlineStr">
        <is>
          <t>54tx</t>
        </is>
      </c>
      <c r="C11" s="44" t="n">
        <v>0.864</v>
      </c>
      <c r="D11" s="42" t="n"/>
      <c r="E11" s="41" t="inlineStr">
        <is>
          <t>54tx</t>
        </is>
      </c>
      <c r="F11" s="41">
        <f>A11</f>
        <v/>
      </c>
      <c r="G11" s="42" t="n"/>
      <c r="H11" s="41" t="inlineStr">
        <is>
          <t>54tx</t>
        </is>
      </c>
      <c r="I11" s="41" t="inlineStr">
        <is>
          <t>Sqft</t>
        </is>
      </c>
    </row>
    <row r="12" ht="21.25" customFormat="1" customHeight="1" s="39">
      <c r="A12" s="40" t="inlineStr">
        <is>
          <t>5/8” Type C</t>
        </is>
      </c>
      <c r="B12" s="41" t="inlineStr">
        <is>
          <t>58tc</t>
        </is>
      </c>
      <c r="C12" s="44" t="n">
        <v>0.555</v>
      </c>
      <c r="D12" s="42" t="n"/>
      <c r="E12" s="41" t="inlineStr">
        <is>
          <t>58tc</t>
        </is>
      </c>
      <c r="F12" s="41">
        <f>A12</f>
        <v/>
      </c>
      <c r="G12" s="42" t="n"/>
      <c r="H12" s="41" t="inlineStr">
        <is>
          <t>58tc</t>
        </is>
      </c>
      <c r="I12" s="41" t="inlineStr">
        <is>
          <t>Sqft</t>
        </is>
      </c>
    </row>
    <row r="13" ht="21.25" customFormat="1" customHeight="1" s="39">
      <c r="A13" s="40" t="inlineStr">
        <is>
          <t>1/2” GlassRoc</t>
        </is>
      </c>
      <c r="B13" s="41" t="inlineStr">
        <is>
          <t>12gr</t>
        </is>
      </c>
      <c r="C13" s="44" t="n">
        <v>1.2169</v>
      </c>
      <c r="D13" s="42" t="n"/>
      <c r="E13" s="41" t="inlineStr">
        <is>
          <t>12gr</t>
        </is>
      </c>
      <c r="F13" s="41">
        <f>A13</f>
        <v/>
      </c>
      <c r="G13" s="42" t="n"/>
      <c r="H13" s="41" t="inlineStr">
        <is>
          <t>12gr</t>
        </is>
      </c>
      <c r="I13" s="41" t="inlineStr">
        <is>
          <t>Sqft</t>
        </is>
      </c>
    </row>
    <row r="14" ht="21.25" customFormat="1" customHeight="1" s="39">
      <c r="A14" s="40" t="inlineStr">
        <is>
          <t>5/8” GlassRoc</t>
        </is>
      </c>
      <c r="B14" s="41" t="inlineStr">
        <is>
          <t>58gr</t>
        </is>
      </c>
      <c r="C14" s="44" t="n">
        <v>1.3169</v>
      </c>
      <c r="D14" s="42" t="n"/>
      <c r="E14" s="41" t="inlineStr">
        <is>
          <t>58gr</t>
        </is>
      </c>
      <c r="F14" s="41">
        <f>A14</f>
        <v/>
      </c>
      <c r="G14" s="42" t="n"/>
      <c r="H14" s="41" t="inlineStr">
        <is>
          <t>58gr</t>
        </is>
      </c>
      <c r="I14" s="41" t="inlineStr">
        <is>
          <t>Sqft</t>
        </is>
      </c>
    </row>
    <row r="15" ht="21.25" customFormat="1" customHeight="1" s="39">
      <c r="A15" s="40" t="inlineStr">
        <is>
          <t>1/2” DiamondBacker</t>
        </is>
      </c>
      <c r="B15" s="41" t="inlineStr">
        <is>
          <t>12db</t>
        </is>
      </c>
      <c r="C15" s="44" t="n">
        <v>1.6409</v>
      </c>
      <c r="D15" s="42" t="n"/>
      <c r="E15" s="41" t="inlineStr">
        <is>
          <t>12db</t>
        </is>
      </c>
      <c r="F15" s="41">
        <f>A15</f>
        <v/>
      </c>
      <c r="G15" s="42" t="n"/>
      <c r="H15" s="41" t="inlineStr">
        <is>
          <t>12db</t>
        </is>
      </c>
      <c r="I15" s="41" t="inlineStr">
        <is>
          <t>Sqft</t>
        </is>
      </c>
    </row>
    <row r="16" ht="21.25" customFormat="1" customHeight="1" s="39">
      <c r="A16" s="40" t="inlineStr">
        <is>
          <t>5/8” DiamondBacker</t>
        </is>
      </c>
      <c r="B16" s="41" t="inlineStr">
        <is>
          <t>58db</t>
        </is>
      </c>
      <c r="C16" s="44" t="n">
        <v>1.84</v>
      </c>
      <c r="D16" s="42" t="n"/>
      <c r="E16" s="41" t="inlineStr">
        <is>
          <t>58db</t>
        </is>
      </c>
      <c r="F16" s="41">
        <f>A16</f>
        <v/>
      </c>
      <c r="G16" s="42" t="n"/>
      <c r="H16" s="41" t="inlineStr">
        <is>
          <t>58db</t>
        </is>
      </c>
      <c r="I16" s="41" t="inlineStr">
        <is>
          <t>Sqft</t>
        </is>
      </c>
    </row>
    <row r="17" ht="21.25" customFormat="1" customHeight="1" s="39">
      <c r="A17" s="40" t="inlineStr">
        <is>
          <t>1” GlassRoc ShaftLiner</t>
        </is>
      </c>
      <c r="B17" s="41" t="inlineStr">
        <is>
          <t>1grsl</t>
        </is>
      </c>
      <c r="C17" s="44" t="n">
        <v>2.1403</v>
      </c>
      <c r="D17" s="42" t="n"/>
      <c r="E17" s="41" t="inlineStr">
        <is>
          <t>1grsl</t>
        </is>
      </c>
      <c r="F17" s="41">
        <f>A17</f>
        <v/>
      </c>
      <c r="G17" s="42" t="n"/>
      <c r="H17" s="41" t="inlineStr">
        <is>
          <t>1grsl</t>
        </is>
      </c>
      <c r="I17" s="41" t="inlineStr">
        <is>
          <t>Sqft</t>
        </is>
      </c>
    </row>
    <row r="18" ht="21.25" customFormat="1" customHeight="1" s="39">
      <c r="A18" s="40" t="inlineStr">
        <is>
          <t>1” M2 Tech Shaftliner</t>
        </is>
      </c>
      <c r="B18" s="41" t="inlineStr">
        <is>
          <t>1m2sl</t>
        </is>
      </c>
      <c r="C18" s="42" t="n">
        <v>2.1005</v>
      </c>
      <c r="D18" s="42" t="n"/>
      <c r="E18" s="41" t="inlineStr">
        <is>
          <t>1m2sl</t>
        </is>
      </c>
      <c r="F18" s="41">
        <f>A18</f>
        <v/>
      </c>
      <c r="G18" s="41" t="n"/>
      <c r="H18" s="41" t="inlineStr">
        <is>
          <t>1m2sl</t>
        </is>
      </c>
      <c r="I18" s="41" t="inlineStr">
        <is>
          <t>Sqft</t>
        </is>
      </c>
    </row>
    <row r="19" ht="21.25" customFormat="1" customHeight="1" s="39">
      <c r="A19" s="40" t="inlineStr">
        <is>
          <t>1/2” Durock Tile Backer</t>
        </is>
      </c>
      <c r="B19" s="41" t="inlineStr">
        <is>
          <t>12dr</t>
        </is>
      </c>
      <c r="C19" s="42" t="n">
        <v>1.7273</v>
      </c>
      <c r="D19" s="42" t="n"/>
      <c r="E19" s="41" t="inlineStr">
        <is>
          <t>12dr</t>
        </is>
      </c>
      <c r="F19" s="41">
        <f>A19</f>
        <v/>
      </c>
      <c r="G19" s="41" t="n"/>
      <c r="H19" s="41" t="inlineStr">
        <is>
          <t>12dr</t>
        </is>
      </c>
      <c r="I19" s="41" t="inlineStr">
        <is>
          <t>Sqft</t>
        </is>
      </c>
    </row>
    <row r="20" ht="21.25" customFormat="1" customHeight="1" s="39">
      <c r="A20" s="40" t="inlineStr">
        <is>
          <t>5/8” Durock Tile Backer</t>
        </is>
      </c>
      <c r="B20" s="41" t="inlineStr">
        <is>
          <t>58dr</t>
        </is>
      </c>
      <c r="C20" s="42" t="n">
        <v>2.0098</v>
      </c>
      <c r="D20" s="42" t="n"/>
      <c r="E20" s="41" t="inlineStr">
        <is>
          <t>58dr</t>
        </is>
      </c>
      <c r="F20" s="41">
        <f>A20</f>
        <v/>
      </c>
      <c r="G20" s="41" t="n"/>
      <c r="H20" s="41" t="inlineStr">
        <is>
          <t>58dr</t>
        </is>
      </c>
      <c r="I20" s="41" t="inlineStr">
        <is>
          <t>Sqft</t>
        </is>
      </c>
    </row>
    <row r="21" ht="21.25" customFormat="1" customHeight="1" s="39">
      <c r="A21" s="40" t="inlineStr">
        <is>
          <t>3/4" Plywood</t>
        </is>
      </c>
      <c r="B21" s="41" t="inlineStr">
        <is>
          <t>34pw</t>
        </is>
      </c>
      <c r="C21" s="42" t="n">
        <v>4</v>
      </c>
      <c r="D21" s="42" t="n"/>
      <c r="E21" s="41" t="inlineStr">
        <is>
          <t>34pw</t>
        </is>
      </c>
      <c r="F21" s="41">
        <f>A21</f>
        <v/>
      </c>
      <c r="G21" s="41" t="n"/>
      <c r="H21" s="41" t="inlineStr">
        <is>
          <t>34pw</t>
        </is>
      </c>
      <c r="I21" s="41" t="inlineStr">
        <is>
          <t>Sqft</t>
        </is>
      </c>
    </row>
    <row r="22" ht="21.25" customFormat="1" customHeight="1" s="39">
      <c r="A22" s="40" t="inlineStr">
        <is>
          <t>5/8" Plywood</t>
        </is>
      </c>
      <c r="B22" s="41" t="inlineStr">
        <is>
          <t>58pw</t>
        </is>
      </c>
      <c r="C22" s="42" t="n">
        <v>3.5</v>
      </c>
      <c r="D22" s="42" t="n"/>
      <c r="E22" s="41" t="inlineStr">
        <is>
          <t>58pw</t>
        </is>
      </c>
      <c r="F22" s="41">
        <f>A22</f>
        <v/>
      </c>
      <c r="G22" s="41" t="n"/>
      <c r="H22" s="41" t="inlineStr">
        <is>
          <t>58pw</t>
        </is>
      </c>
      <c r="I22" s="41" t="inlineStr">
        <is>
          <t>Sqft</t>
        </is>
      </c>
    </row>
    <row r="23" ht="21.25" customFormat="1" customHeight="1" s="39">
      <c r="A23" s="40" t="inlineStr">
        <is>
          <t>1/2" Fire Rated Plywood</t>
        </is>
      </c>
      <c r="B23" s="41" t="inlineStr">
        <is>
          <t>12pw</t>
        </is>
      </c>
      <c r="C23" s="42" t="n">
        <v>3</v>
      </c>
      <c r="D23" s="42" t="n"/>
      <c r="E23" s="41" t="inlineStr">
        <is>
          <t>12pw</t>
        </is>
      </c>
      <c r="F23" s="41">
        <f>A23</f>
        <v/>
      </c>
      <c r="G23" s="41" t="n"/>
      <c r="H23" s="41" t="inlineStr">
        <is>
          <t>12pw</t>
        </is>
      </c>
      <c r="I23" s="41" t="inlineStr">
        <is>
          <t>Sqft</t>
        </is>
      </c>
    </row>
    <row r="24" ht="21.25" customFormat="1" customHeight="1" s="39">
      <c r="A24" s="40" t="inlineStr">
        <is>
          <t>QuietRock 550</t>
        </is>
      </c>
      <c r="B24" s="41" t="inlineStr">
        <is>
          <t>qt530</t>
        </is>
      </c>
      <c r="C24" s="44" t="inlineStr">
        <is>
          <t>?</t>
        </is>
      </c>
      <c r="D24" s="42" t="n"/>
      <c r="E24" s="41" t="inlineStr">
        <is>
          <t>qt530</t>
        </is>
      </c>
      <c r="F24" s="41">
        <f>A24</f>
        <v/>
      </c>
      <c r="G24" s="42" t="n"/>
      <c r="H24" s="41" t="inlineStr">
        <is>
          <t>qt530</t>
        </is>
      </c>
      <c r="I24" s="41" t="inlineStr">
        <is>
          <t>Sqft</t>
        </is>
      </c>
    </row>
    <row r="25" ht="21.25" customFormat="1" customHeight="1" s="39">
      <c r="A25" s="40" t="inlineStr">
        <is>
          <t>1/2" QuietRock 510</t>
        </is>
      </c>
      <c r="B25" s="41" t="inlineStr">
        <is>
          <t>12qt</t>
        </is>
      </c>
      <c r="C25" s="44" t="inlineStr">
        <is>
          <t>?</t>
        </is>
      </c>
      <c r="D25" s="42" t="n"/>
      <c r="E25" s="41" t="inlineStr">
        <is>
          <t>12qt</t>
        </is>
      </c>
      <c r="F25" s="41">
        <f>A25</f>
        <v/>
      </c>
      <c r="G25" s="42" t="n"/>
      <c r="H25" s="41" t="inlineStr">
        <is>
          <t>12qt</t>
        </is>
      </c>
      <c r="I25" s="41" t="inlineStr">
        <is>
          <t>Sqft</t>
        </is>
      </c>
    </row>
    <row r="26" ht="21.25" customFormat="1" customHeight="1" s="39">
      <c r="A26" s="40" t="inlineStr">
        <is>
          <t>1/2" QuietRock MR 510</t>
        </is>
      </c>
      <c r="B26" s="41" t="inlineStr">
        <is>
          <t>12qtmr</t>
        </is>
      </c>
      <c r="C26" s="44" t="inlineStr">
        <is>
          <t>?</t>
        </is>
      </c>
      <c r="D26" s="42" t="n"/>
      <c r="E26" s="41" t="inlineStr">
        <is>
          <t>12qtmr</t>
        </is>
      </c>
      <c r="F26" s="41">
        <f>A26</f>
        <v/>
      </c>
      <c r="G26" s="42" t="n"/>
      <c r="H26" s="41" t="inlineStr">
        <is>
          <t>12qtmr</t>
        </is>
      </c>
      <c r="I26" s="41" t="inlineStr">
        <is>
          <t>Sqft</t>
        </is>
      </c>
    </row>
    <row r="27" ht="21.25" customFormat="1" customHeight="1" s="39">
      <c r="A27" s="40" t="inlineStr">
        <is>
          <t>5/8" QuietRock EZ Snap</t>
        </is>
      </c>
      <c r="B27" s="41" t="inlineStr">
        <is>
          <t>58qt</t>
        </is>
      </c>
      <c r="C27" s="44" t="inlineStr">
        <is>
          <t>?</t>
        </is>
      </c>
      <c r="D27" s="42" t="n"/>
      <c r="E27" s="41" t="inlineStr">
        <is>
          <t>58qt</t>
        </is>
      </c>
      <c r="F27" s="41">
        <f>A27</f>
        <v/>
      </c>
      <c r="G27" s="42" t="n"/>
      <c r="H27" s="41" t="inlineStr">
        <is>
          <t>58qt</t>
        </is>
      </c>
      <c r="I27" s="41" t="inlineStr">
        <is>
          <t>Sqft</t>
        </is>
      </c>
    </row>
    <row r="28" ht="21.25" customFormat="1" customHeight="1" s="39">
      <c r="A28" s="40" t="inlineStr">
        <is>
          <t>5/8" QuietRock MR EZ Snap</t>
        </is>
      </c>
      <c r="B28" s="41" t="inlineStr">
        <is>
          <t>58qtmr</t>
        </is>
      </c>
      <c r="C28" s="44" t="inlineStr">
        <is>
          <t>?</t>
        </is>
      </c>
      <c r="D28" s="42" t="n"/>
      <c r="E28" s="41" t="inlineStr">
        <is>
          <t>58qtmr</t>
        </is>
      </c>
      <c r="F28" s="41">
        <f>A28</f>
        <v/>
      </c>
      <c r="G28" s="42" t="n"/>
      <c r="H28" s="41" t="inlineStr">
        <is>
          <t>58qtmr</t>
        </is>
      </c>
      <c r="I28" s="41" t="inlineStr">
        <is>
          <t>Sqft</t>
        </is>
      </c>
    </row>
    <row r="29" ht="21.25" customFormat="1" customHeight="1" s="39">
      <c r="A29" s="40" t="inlineStr">
        <is>
          <t>1/2" Abuse Resistant</t>
        </is>
      </c>
      <c r="B29" s="41" t="inlineStr">
        <is>
          <t>12ar</t>
        </is>
      </c>
      <c r="C29" s="44" t="n">
        <v>1.2932</v>
      </c>
      <c r="D29" s="42" t="n"/>
      <c r="E29" s="41" t="inlineStr">
        <is>
          <t>12ar</t>
        </is>
      </c>
      <c r="F29" s="41">
        <f>A29</f>
        <v/>
      </c>
      <c r="G29" s="42" t="n"/>
      <c r="H29" s="41" t="inlineStr">
        <is>
          <t>12ar</t>
        </is>
      </c>
      <c r="I29" s="41" t="inlineStr">
        <is>
          <t>Sqft</t>
        </is>
      </c>
    </row>
    <row r="30" ht="21.25" customFormat="1" customHeight="1" s="39">
      <c r="A30" s="40" t="inlineStr">
        <is>
          <t>5/8" Abuse Resistant - Type X</t>
        </is>
      </c>
      <c r="B30" s="41" t="inlineStr">
        <is>
          <t>58ar</t>
        </is>
      </c>
      <c r="C30" s="44" t="n">
        <v>1.4988</v>
      </c>
      <c r="D30" s="42" t="n"/>
      <c r="E30" s="41" t="inlineStr">
        <is>
          <t>58ar</t>
        </is>
      </c>
      <c r="F30" s="41">
        <f>A30</f>
        <v/>
      </c>
      <c r="G30" s="42" t="n"/>
      <c r="H30" s="41" t="inlineStr">
        <is>
          <t>58ar</t>
        </is>
      </c>
      <c r="I30" s="41" t="inlineStr">
        <is>
          <t>Sqft</t>
        </is>
      </c>
    </row>
    <row r="31" ht="21.25" customFormat="1" customHeight="1" s="39">
      <c r="A31" s="40" t="n"/>
      <c r="B31" s="41" t="n"/>
      <c r="C31" s="44" t="n"/>
      <c r="D31" s="42" t="n"/>
      <c r="E31" s="41" t="n"/>
      <c r="F31" s="41">
        <f>A31</f>
        <v/>
      </c>
      <c r="G31" s="42" t="n"/>
      <c r="H31" s="41" t="n"/>
      <c r="I31" s="41" t="inlineStr">
        <is>
          <t>Sqft</t>
        </is>
      </c>
    </row>
    <row r="32" ht="21.75" customFormat="1" customHeight="1" s="39">
      <c r="A32" s="40" t="inlineStr">
        <is>
          <t xml:space="preserve">R8 Insulation </t>
        </is>
      </c>
      <c r="B32" s="41" t="inlineStr">
        <is>
          <t>r8</t>
        </is>
      </c>
      <c r="C32" s="44" t="n">
        <v>0.2703</v>
      </c>
      <c r="D32" s="42" t="n"/>
      <c r="E32" s="41" t="inlineStr">
        <is>
          <t>r8</t>
        </is>
      </c>
      <c r="F32" s="41">
        <f>A32</f>
        <v/>
      </c>
      <c r="G32" s="42" t="n"/>
      <c r="H32" s="41" t="inlineStr">
        <is>
          <t>r8</t>
        </is>
      </c>
      <c r="I32" s="41" t="inlineStr">
        <is>
          <t>Sqft</t>
        </is>
      </c>
    </row>
    <row r="33" ht="21.25" customFormat="1" customHeight="1" s="39">
      <c r="A33" s="40" t="inlineStr">
        <is>
          <t xml:space="preserve">R12 Insulation </t>
        </is>
      </c>
      <c r="B33" s="41" t="inlineStr">
        <is>
          <t>r12</t>
        </is>
      </c>
      <c r="C33" s="44" t="n">
        <v>0.3716</v>
      </c>
      <c r="D33" s="42" t="n"/>
      <c r="E33" s="41" t="inlineStr">
        <is>
          <t>r12</t>
        </is>
      </c>
      <c r="F33" s="41">
        <f>A33</f>
        <v/>
      </c>
      <c r="G33" s="42" t="n"/>
      <c r="H33" s="41" t="inlineStr">
        <is>
          <t>r12</t>
        </is>
      </c>
      <c r="I33" s="41" t="inlineStr">
        <is>
          <t>Sqft</t>
        </is>
      </c>
    </row>
    <row r="34" ht="21.25" customFormat="1" customHeight="1" s="39">
      <c r="A34" s="40" t="inlineStr">
        <is>
          <t xml:space="preserve">R20 Insulation </t>
        </is>
      </c>
      <c r="B34" s="41" t="inlineStr">
        <is>
          <t>r20</t>
        </is>
      </c>
      <c r="C34" s="44" t="n">
        <v>0.628</v>
      </c>
      <c r="D34" s="42" t="n"/>
      <c r="E34" s="41" t="inlineStr">
        <is>
          <t>r20</t>
        </is>
      </c>
      <c r="F34" s="41">
        <f>A34</f>
        <v/>
      </c>
      <c r="G34" s="42" t="n"/>
      <c r="H34" s="41" t="inlineStr">
        <is>
          <t>r20</t>
        </is>
      </c>
      <c r="I34" s="41" t="inlineStr">
        <is>
          <t>Sqft</t>
        </is>
      </c>
    </row>
    <row r="35" ht="21.25" customFormat="1" customHeight="1" s="39">
      <c r="A35" s="40" t="inlineStr">
        <is>
          <t>R12 QUIET ZONE</t>
        </is>
      </c>
      <c r="B35" s="41" t="inlineStr">
        <is>
          <t>R12QZ</t>
        </is>
      </c>
      <c r="C35" s="44" t="n">
        <v>1.3605</v>
      </c>
      <c r="D35" s="42" t="n"/>
      <c r="E35" s="41" t="inlineStr">
        <is>
          <t>R12QZ</t>
        </is>
      </c>
      <c r="F35" s="41">
        <f>A35</f>
        <v/>
      </c>
      <c r="G35" s="42" t="n"/>
      <c r="H35" s="41" t="inlineStr">
        <is>
          <t>R12QZ</t>
        </is>
      </c>
      <c r="I35" s="41" t="inlineStr">
        <is>
          <t>Sqft</t>
        </is>
      </c>
    </row>
    <row r="36" ht="21.25" customFormat="1" customHeight="1" s="39">
      <c r="A36" s="40" t="inlineStr">
        <is>
          <t>R20 QUIET ZONE</t>
        </is>
      </c>
      <c r="B36" s="41" t="inlineStr">
        <is>
          <t>R20QZ</t>
        </is>
      </c>
      <c r="C36" s="44" t="n">
        <v>1.257</v>
      </c>
      <c r="D36" s="42" t="n"/>
      <c r="E36" s="41" t="inlineStr">
        <is>
          <t>R20QZ</t>
        </is>
      </c>
      <c r="F36" s="41">
        <f>A36</f>
        <v/>
      </c>
      <c r="G36" s="42" t="n"/>
      <c r="H36" s="41" t="inlineStr">
        <is>
          <t>R20QZ</t>
        </is>
      </c>
      <c r="I36" s="41" t="inlineStr">
        <is>
          <t>Sqft</t>
        </is>
      </c>
    </row>
    <row r="37" ht="21.25" customFormat="1" customHeight="1" s="39">
      <c r="A37" s="40" t="inlineStr">
        <is>
          <t xml:space="preserve">R28 Insulation </t>
        </is>
      </c>
      <c r="B37" s="41" t="inlineStr">
        <is>
          <t>r28</t>
        </is>
      </c>
      <c r="C37" s="44" t="n">
        <v>0.8289</v>
      </c>
      <c r="D37" s="42" t="n"/>
      <c r="E37" s="41" t="inlineStr">
        <is>
          <t>r28</t>
        </is>
      </c>
      <c r="F37" s="41">
        <f>A37</f>
        <v/>
      </c>
      <c r="G37" s="42" t="n"/>
      <c r="H37" s="41" t="inlineStr">
        <is>
          <t>r28</t>
        </is>
      </c>
      <c r="I37" s="41" t="inlineStr">
        <is>
          <t>Sqft</t>
        </is>
      </c>
    </row>
    <row r="38" ht="21.25" customFormat="1" customHeight="1" s="39">
      <c r="A38" s="40" t="inlineStr">
        <is>
          <t xml:space="preserve">R35 Insulation </t>
        </is>
      </c>
      <c r="B38" s="41" t="inlineStr">
        <is>
          <t>r35</t>
        </is>
      </c>
      <c r="C38" s="44" t="n">
        <v>1.0347</v>
      </c>
      <c r="D38" s="42" t="n"/>
      <c r="E38" s="41" t="inlineStr">
        <is>
          <t>r35</t>
        </is>
      </c>
      <c r="F38" s="41">
        <f>A38</f>
        <v/>
      </c>
      <c r="G38" s="42" t="n"/>
      <c r="H38" s="41" t="inlineStr">
        <is>
          <t>r35</t>
        </is>
      </c>
      <c r="I38" s="41" t="inlineStr">
        <is>
          <t>Sqft</t>
        </is>
      </c>
    </row>
    <row r="39" ht="21.25" customFormat="1" customHeight="1" s="39">
      <c r="A39" s="40" t="inlineStr">
        <is>
          <t xml:space="preserve">R40 Insulation </t>
        </is>
      </c>
      <c r="B39" s="41" t="inlineStr">
        <is>
          <t>r40</t>
        </is>
      </c>
      <c r="C39" s="44" t="n">
        <v>1.2731</v>
      </c>
      <c r="D39" s="42" t="n"/>
      <c r="E39" s="41" t="inlineStr">
        <is>
          <t>r40</t>
        </is>
      </c>
      <c r="F39" s="41">
        <f>A39</f>
        <v/>
      </c>
      <c r="G39" s="42" t="n"/>
      <c r="H39" s="41" t="inlineStr">
        <is>
          <t>r40</t>
        </is>
      </c>
      <c r="I39" s="41" t="inlineStr">
        <is>
          <t>Sqft</t>
        </is>
      </c>
    </row>
    <row r="40" ht="21.25" customFormat="1" customHeight="1" s="39">
      <c r="A40" s="40" t="inlineStr">
        <is>
          <t>Roxul Comfort Batt R10</t>
        </is>
      </c>
      <c r="B40" s="41" t="inlineStr">
        <is>
          <t>R10</t>
        </is>
      </c>
      <c r="C40" s="44" t="n">
        <v>0.9087</v>
      </c>
      <c r="D40" s="42" t="n"/>
      <c r="E40" s="41" t="inlineStr">
        <is>
          <t>R10</t>
        </is>
      </c>
      <c r="F40" s="41">
        <f>A40</f>
        <v/>
      </c>
      <c r="G40" s="42" t="n"/>
      <c r="H40" s="41" t="inlineStr">
        <is>
          <t>R10</t>
        </is>
      </c>
      <c r="I40" s="41" t="inlineStr">
        <is>
          <t>Sqft</t>
        </is>
      </c>
    </row>
    <row r="41" ht="21.25" customFormat="1" customHeight="1" s="39">
      <c r="A41" s="40" t="inlineStr">
        <is>
          <t>Roxul Comfort Batt R14</t>
        </is>
      </c>
      <c r="B41" s="41" t="inlineStr">
        <is>
          <t>R14</t>
        </is>
      </c>
      <c r="C41" s="44" t="n">
        <v>1.2785</v>
      </c>
      <c r="D41" s="42" t="n"/>
      <c r="E41" s="41" t="inlineStr">
        <is>
          <t>R14</t>
        </is>
      </c>
      <c r="F41" s="41">
        <f>A41</f>
        <v/>
      </c>
      <c r="G41" s="42" t="n"/>
      <c r="H41" s="41" t="inlineStr">
        <is>
          <t>R14</t>
        </is>
      </c>
      <c r="I41" s="41" t="inlineStr">
        <is>
          <t>Sqft</t>
        </is>
      </c>
    </row>
    <row r="42" ht="21.25" customFormat="1" customHeight="1" s="39">
      <c r="A42" s="40" t="inlineStr">
        <is>
          <t>Roxul Comfort Batt R22</t>
        </is>
      </c>
      <c r="B42" s="41" t="inlineStr">
        <is>
          <t>R22</t>
        </is>
      </c>
      <c r="C42" s="44" t="n">
        <v>2.0078</v>
      </c>
      <c r="D42" s="42" t="n"/>
      <c r="E42" s="41" t="inlineStr">
        <is>
          <t>R22</t>
        </is>
      </c>
      <c r="F42" s="41">
        <f>A42</f>
        <v/>
      </c>
      <c r="G42" s="42" t="n"/>
      <c r="H42" s="41" t="inlineStr">
        <is>
          <t>R22</t>
        </is>
      </c>
      <c r="I42" s="41" t="inlineStr">
        <is>
          <t>Sqft</t>
        </is>
      </c>
    </row>
    <row r="43" ht="21.25" customFormat="1" customHeight="1" s="39">
      <c r="A43" s="40" t="inlineStr">
        <is>
          <t>Roxul AFB 2 1/2"</t>
        </is>
      </c>
      <c r="B43" s="41" t="inlineStr">
        <is>
          <t>AFB25</t>
        </is>
      </c>
      <c r="C43" s="44" t="n">
        <v>1.5197</v>
      </c>
      <c r="D43" s="42" t="n"/>
      <c r="E43" s="41" t="inlineStr">
        <is>
          <t>AFB25</t>
        </is>
      </c>
      <c r="F43" s="41">
        <f>A43</f>
        <v/>
      </c>
      <c r="G43" s="42" t="n"/>
      <c r="H43" s="41" t="inlineStr">
        <is>
          <t>AFB25</t>
        </is>
      </c>
      <c r="I43" s="41" t="inlineStr">
        <is>
          <t>Sqft</t>
        </is>
      </c>
    </row>
    <row r="44" ht="21.25" customFormat="1" customHeight="1" s="39">
      <c r="A44" s="40" t="inlineStr">
        <is>
          <t>Roxul AF 3 5/8"</t>
        </is>
      </c>
      <c r="B44" s="41" t="inlineStr">
        <is>
          <t>AFB35</t>
        </is>
      </c>
      <c r="C44" s="44" t="n">
        <v>1.853</v>
      </c>
      <c r="D44" s="42" t="n"/>
      <c r="E44" s="41" t="inlineStr">
        <is>
          <t>AFB35</t>
        </is>
      </c>
      <c r="F44" s="41">
        <f>A44</f>
        <v/>
      </c>
      <c r="G44" s="42" t="n"/>
      <c r="H44" s="41" t="inlineStr">
        <is>
          <t>AFB35</t>
        </is>
      </c>
      <c r="I44" s="41" t="inlineStr">
        <is>
          <t>Sqft</t>
        </is>
      </c>
    </row>
    <row r="45" ht="21.25" customFormat="1" customHeight="1" s="39">
      <c r="A45" s="40" t="inlineStr">
        <is>
          <t>Roxul AFB 6"</t>
        </is>
      </c>
      <c r="B45" s="41" t="inlineStr">
        <is>
          <t>AFB6</t>
        </is>
      </c>
      <c r="C45" s="44" t="n">
        <v>3.1726</v>
      </c>
      <c r="D45" s="42" t="n"/>
      <c r="E45" s="41" t="inlineStr">
        <is>
          <t>AFB6</t>
        </is>
      </c>
      <c r="F45" s="41">
        <f>A45</f>
        <v/>
      </c>
      <c r="G45" s="42" t="n"/>
      <c r="H45" s="41" t="inlineStr">
        <is>
          <t>AFB6</t>
        </is>
      </c>
      <c r="I45" s="41" t="inlineStr">
        <is>
          <t>Sqft</t>
        </is>
      </c>
    </row>
    <row r="46" ht="21.25" customFormat="1" customHeight="1" s="39">
      <c r="A46" s="40" t="n"/>
      <c r="B46" s="41" t="n"/>
      <c r="C46" s="44" t="n"/>
      <c r="D46" s="42" t="n"/>
      <c r="E46" s="41" t="n"/>
      <c r="F46" s="41">
        <f>A46</f>
        <v/>
      </c>
      <c r="G46" s="42" t="n"/>
      <c r="H46" s="41" t="n"/>
      <c r="I46" s="41" t="inlineStr">
        <is>
          <t>Sqft</t>
        </is>
      </c>
    </row>
    <row r="47" ht="21.25" customFormat="1" customHeight="1" s="39">
      <c r="A47" s="40" t="inlineStr">
        <is>
          <t>6 Mil Poly</t>
        </is>
      </c>
      <c r="B47" s="41" t="inlineStr">
        <is>
          <t>6mil</t>
        </is>
      </c>
      <c r="C47" s="42" t="n">
        <v>0.07000000000000001</v>
      </c>
      <c r="D47" s="42" t="n"/>
      <c r="E47" s="41" t="inlineStr">
        <is>
          <t>6mil</t>
        </is>
      </c>
      <c r="F47" s="41">
        <f>A47</f>
        <v/>
      </c>
      <c r="G47" s="42" t="n"/>
      <c r="H47" s="41" t="inlineStr">
        <is>
          <t>6mil</t>
        </is>
      </c>
      <c r="I47" s="41" t="inlineStr">
        <is>
          <t>Sqft</t>
        </is>
      </c>
    </row>
    <row r="48" ht="21.25" customFormat="1" customHeight="1" s="39">
      <c r="A48" s="40" t="inlineStr">
        <is>
          <t>Light Weight Poly</t>
        </is>
      </c>
      <c r="B48" s="41" t="inlineStr">
        <is>
          <t>lwp</t>
        </is>
      </c>
      <c r="C48" s="42" t="n">
        <v>15.74</v>
      </c>
      <c r="D48" s="42" t="n"/>
      <c r="E48" s="41" t="inlineStr">
        <is>
          <t>lwp</t>
        </is>
      </c>
      <c r="F48" s="41">
        <f>A48</f>
        <v/>
      </c>
      <c r="G48" s="42" t="n"/>
      <c r="H48" s="41" t="inlineStr">
        <is>
          <t>lwp</t>
        </is>
      </c>
      <c r="I48" s="41" t="inlineStr">
        <is>
          <t>Sqft</t>
        </is>
      </c>
    </row>
    <row r="49" ht="21.25" customFormat="1" customHeight="1" s="39">
      <c r="A49" s="40" t="inlineStr">
        <is>
          <t>1 1/2” TYPE 4 RIGID</t>
        </is>
      </c>
      <c r="B49" s="41" t="inlineStr">
        <is>
          <t>15T4R</t>
        </is>
      </c>
      <c r="C49" s="42" t="n">
        <v>1.22115</v>
      </c>
      <c r="D49" s="42" t="n"/>
      <c r="E49" s="41" t="inlineStr">
        <is>
          <t>15T4R</t>
        </is>
      </c>
      <c r="F49" s="41">
        <f>A49</f>
        <v/>
      </c>
      <c r="G49" s="42" t="n"/>
      <c r="H49" s="41" t="inlineStr">
        <is>
          <t>15T4R</t>
        </is>
      </c>
      <c r="I49" s="41" t="inlineStr">
        <is>
          <t>Sqft</t>
        </is>
      </c>
    </row>
    <row r="50" ht="21.25" customFormat="1" customHeight="1" s="39">
      <c r="A50" s="40" t="inlineStr">
        <is>
          <t>2" Foil Back Insulation</t>
        </is>
      </c>
      <c r="B50" s="41" t="inlineStr">
        <is>
          <t>2fb</t>
        </is>
      </c>
      <c r="C50" s="42" t="n">
        <v>3.8594</v>
      </c>
      <c r="D50" s="42" t="n"/>
      <c r="E50" s="41" t="inlineStr">
        <is>
          <t>2fb</t>
        </is>
      </c>
      <c r="F50" s="41">
        <f>A50</f>
        <v/>
      </c>
      <c r="G50" s="42" t="n"/>
      <c r="H50" s="41" t="inlineStr">
        <is>
          <t>2fb</t>
        </is>
      </c>
      <c r="I50" s="41" t="inlineStr">
        <is>
          <t>Sqft</t>
        </is>
      </c>
    </row>
    <row r="51" ht="21.25" customFormat="1" customHeight="1" s="39">
      <c r="A51" s="40" t="n"/>
      <c r="B51" s="41" t="n"/>
      <c r="C51" s="44" t="n"/>
      <c r="D51" s="42" t="n"/>
      <c r="E51" s="41" t="n"/>
      <c r="F51" s="41">
        <f>A51</f>
        <v/>
      </c>
      <c r="G51" s="42" t="n"/>
      <c r="H51" s="41" t="n"/>
      <c r="I51" s="41" t="n"/>
    </row>
    <row r="52" ht="21.25" customFormat="1" customHeight="1" s="39">
      <c r="A52" s="40" t="inlineStr">
        <is>
          <t>25 Ga 1 5/8” Stud</t>
        </is>
      </c>
      <c r="B52" s="41" t="inlineStr">
        <is>
          <t>251s</t>
        </is>
      </c>
      <c r="C52" s="44" t="n">
        <v>0.5212</v>
      </c>
      <c r="D52" s="42" t="n"/>
      <c r="E52" s="41" t="inlineStr">
        <is>
          <t>251s</t>
        </is>
      </c>
      <c r="F52" s="41">
        <f>A52</f>
        <v/>
      </c>
      <c r="G52" s="42" t="n"/>
      <c r="H52" s="41" t="inlineStr">
        <is>
          <t>251s</t>
        </is>
      </c>
      <c r="I52" s="41" t="inlineStr">
        <is>
          <t>Lnft</t>
        </is>
      </c>
    </row>
    <row r="53" ht="21.25" customFormat="1" customHeight="1" s="39">
      <c r="A53" s="40" t="inlineStr">
        <is>
          <t>25 Ga 1 5/8” Track</t>
        </is>
      </c>
      <c r="B53" s="41" t="inlineStr">
        <is>
          <t>251t</t>
        </is>
      </c>
      <c r="C53" s="44" t="n">
        <v>0.4622</v>
      </c>
      <c r="D53" s="42" t="n"/>
      <c r="E53" s="41" t="inlineStr">
        <is>
          <t>251t</t>
        </is>
      </c>
      <c r="F53" s="41">
        <f>A53</f>
        <v/>
      </c>
      <c r="G53" s="42" t="n"/>
      <c r="H53" s="41" t="inlineStr">
        <is>
          <t>251t</t>
        </is>
      </c>
      <c r="I53" s="41" t="inlineStr">
        <is>
          <t>Lnft</t>
        </is>
      </c>
    </row>
    <row r="54" ht="21.25" customFormat="1" customHeight="1" s="39">
      <c r="A54" s="40" t="inlineStr">
        <is>
          <t>25 Ga 1 5/8” Deep Tack</t>
        </is>
      </c>
      <c r="B54" s="41" t="inlineStr">
        <is>
          <t>251dt</t>
        </is>
      </c>
      <c r="C54" s="44" t="n">
        <v>0.671</v>
      </c>
      <c r="D54" s="42" t="n"/>
      <c r="E54" s="41" t="inlineStr">
        <is>
          <t>251dt</t>
        </is>
      </c>
      <c r="F54" s="41">
        <f>A54</f>
        <v/>
      </c>
      <c r="G54" s="42" t="n"/>
      <c r="H54" s="41" t="inlineStr">
        <is>
          <t>251dt</t>
        </is>
      </c>
      <c r="I54" s="41" t="inlineStr">
        <is>
          <t>Lnft</t>
        </is>
      </c>
    </row>
    <row r="55" ht="21.25" customFormat="1" customHeight="1" s="39">
      <c r="A55" s="40" t="inlineStr">
        <is>
          <t>25 Ga 2 1/2” Stud</t>
        </is>
      </c>
      <c r="B55" s="41" t="inlineStr">
        <is>
          <t>252s</t>
        </is>
      </c>
      <c r="C55" s="44" t="n">
        <v>0.5989</v>
      </c>
      <c r="D55" s="42" t="n"/>
      <c r="E55" s="41" t="inlineStr">
        <is>
          <t>252s</t>
        </is>
      </c>
      <c r="F55" s="41">
        <f>A55</f>
        <v/>
      </c>
      <c r="G55" s="42" t="n"/>
      <c r="H55" s="41" t="inlineStr">
        <is>
          <t>252s</t>
        </is>
      </c>
      <c r="I55" s="41" t="inlineStr">
        <is>
          <t>Lnft</t>
        </is>
      </c>
    </row>
    <row r="56" ht="21.25" customFormat="1" customHeight="1" s="39">
      <c r="A56" s="40" t="inlineStr">
        <is>
          <t>25 Ga 2 1/2” Track</t>
        </is>
      </c>
      <c r="B56" s="41" t="inlineStr">
        <is>
          <t>252t</t>
        </is>
      </c>
      <c r="C56" s="44" t="n">
        <v>0.5299</v>
      </c>
      <c r="D56" s="42" t="n"/>
      <c r="E56" s="41" t="inlineStr">
        <is>
          <t>252t</t>
        </is>
      </c>
      <c r="F56" s="41">
        <f>A56</f>
        <v/>
      </c>
      <c r="G56" s="42" t="n"/>
      <c r="H56" s="41" t="inlineStr">
        <is>
          <t>252t</t>
        </is>
      </c>
      <c r="I56" s="41" t="inlineStr">
        <is>
          <t>Lnft</t>
        </is>
      </c>
    </row>
    <row r="57" ht="21.25" customFormat="1" customHeight="1" s="39">
      <c r="A57" s="40" t="inlineStr">
        <is>
          <t>25 Ga 2 1/2” Deep Track</t>
        </is>
      </c>
      <c r="B57" s="41" t="inlineStr">
        <is>
          <t>252dt</t>
        </is>
      </c>
      <c r="C57" s="44" t="n">
        <v>0.7383999999999999</v>
      </c>
      <c r="D57" s="42" t="n"/>
      <c r="E57" s="41" t="inlineStr">
        <is>
          <t>252dt</t>
        </is>
      </c>
      <c r="F57" s="41">
        <f>A57</f>
        <v/>
      </c>
      <c r="G57" s="42" t="n"/>
      <c r="H57" s="41" t="inlineStr">
        <is>
          <t>252dt</t>
        </is>
      </c>
      <c r="I57" s="41" t="inlineStr">
        <is>
          <t>Lnft</t>
        </is>
      </c>
    </row>
    <row r="58" ht="21.25" customFormat="1" customHeight="1" s="39">
      <c r="A58" s="40" t="inlineStr">
        <is>
          <t>25 Ga 2 1/2" Slotted Track</t>
        </is>
      </c>
      <c r="B58" s="41" t="inlineStr">
        <is>
          <t>252st</t>
        </is>
      </c>
      <c r="C58" s="44" t="n">
        <v>1.7688</v>
      </c>
      <c r="D58" s="42" t="n"/>
      <c r="E58" s="41" t="inlineStr">
        <is>
          <t>252st</t>
        </is>
      </c>
      <c r="F58" s="41">
        <f>A58</f>
        <v/>
      </c>
      <c r="G58" s="42" t="n"/>
      <c r="H58" s="41" t="inlineStr">
        <is>
          <t>252st</t>
        </is>
      </c>
      <c r="I58" s="41" t="inlineStr">
        <is>
          <t>Lnft</t>
        </is>
      </c>
    </row>
    <row r="59" ht="21.25" customFormat="1" customHeight="1" s="39">
      <c r="A59" s="40" t="inlineStr">
        <is>
          <t>25 Ga 3 5/8” Stud</t>
        </is>
      </c>
      <c r="B59" s="41" t="inlineStr">
        <is>
          <t>253s</t>
        </is>
      </c>
      <c r="C59" s="44" t="n">
        <v>0.6708</v>
      </c>
      <c r="D59" s="42" t="n"/>
      <c r="E59" s="41" t="inlineStr">
        <is>
          <t>253s</t>
        </is>
      </c>
      <c r="F59" s="41">
        <f>A59</f>
        <v/>
      </c>
      <c r="G59" s="42" t="n"/>
      <c r="H59" s="41" t="inlineStr">
        <is>
          <t>253s</t>
        </is>
      </c>
      <c r="I59" s="41" t="inlineStr">
        <is>
          <t>Lnft</t>
        </is>
      </c>
    </row>
    <row r="60" ht="21.25" customFormat="1" customHeight="1" s="39">
      <c r="A60" s="40" t="inlineStr">
        <is>
          <t>25 Ga 3 5/8” Track</t>
        </is>
      </c>
      <c r="B60" s="41" t="inlineStr">
        <is>
          <t>253t</t>
        </is>
      </c>
      <c r="C60" s="44" t="n">
        <v>0.6258</v>
      </c>
      <c r="D60" s="42" t="n"/>
      <c r="E60" s="41" t="inlineStr">
        <is>
          <t>253t</t>
        </is>
      </c>
      <c r="F60" s="41">
        <f>A60</f>
        <v/>
      </c>
      <c r="G60" s="42" t="n"/>
      <c r="H60" s="41" t="inlineStr">
        <is>
          <t>253t</t>
        </is>
      </c>
      <c r="I60" s="41" t="inlineStr">
        <is>
          <t>Lnft</t>
        </is>
      </c>
    </row>
    <row r="61" ht="21.25" customFormat="1" customHeight="1" s="39">
      <c r="A61" s="40" t="inlineStr">
        <is>
          <t>25 Ga 3 5/8” Deep Track</t>
        </is>
      </c>
      <c r="B61" s="41" t="inlineStr">
        <is>
          <t>253dt</t>
        </is>
      </c>
      <c r="C61" s="44" t="n">
        <v>0.8373</v>
      </c>
      <c r="D61" s="42" t="n"/>
      <c r="E61" s="41" t="inlineStr">
        <is>
          <t>253dt</t>
        </is>
      </c>
      <c r="F61" s="41">
        <f>A61</f>
        <v/>
      </c>
      <c r="G61" s="42" t="n"/>
      <c r="H61" s="41" t="inlineStr">
        <is>
          <t>253dt</t>
        </is>
      </c>
      <c r="I61" s="41" t="inlineStr">
        <is>
          <t>Lnft</t>
        </is>
      </c>
    </row>
    <row r="62" ht="21.25" customFormat="1" customHeight="1" s="39">
      <c r="A62" s="40" t="inlineStr">
        <is>
          <t>25 Ga 3 5/8" Slotted Track</t>
        </is>
      </c>
      <c r="B62" s="41" t="inlineStr">
        <is>
          <t>253st</t>
        </is>
      </c>
      <c r="C62" s="44" t="n">
        <v>1.8662</v>
      </c>
      <c r="D62" s="42" t="n"/>
      <c r="E62" s="41" t="inlineStr">
        <is>
          <t>253st</t>
        </is>
      </c>
      <c r="F62" s="41">
        <f>A62</f>
        <v/>
      </c>
      <c r="G62" s="42" t="n"/>
      <c r="H62" s="41" t="inlineStr">
        <is>
          <t>253st</t>
        </is>
      </c>
      <c r="I62" s="41" t="inlineStr">
        <is>
          <t>Lnft</t>
        </is>
      </c>
    </row>
    <row r="63" ht="21.25" customFormat="1" customHeight="1" s="39">
      <c r="A63" s="40" t="inlineStr">
        <is>
          <t>25 Ga 6" Stud</t>
        </is>
      </c>
      <c r="B63" s="41" t="inlineStr">
        <is>
          <t>256s</t>
        </is>
      </c>
      <c r="C63" s="44" t="n">
        <v>0.9537</v>
      </c>
      <c r="D63" s="42" t="n"/>
      <c r="E63" s="41" t="inlineStr">
        <is>
          <t>256s</t>
        </is>
      </c>
      <c r="F63" s="41">
        <f>A63</f>
        <v/>
      </c>
      <c r="G63" s="42" t="n"/>
      <c r="H63" s="41" t="inlineStr">
        <is>
          <t>256s</t>
        </is>
      </c>
      <c r="I63" s="41" t="inlineStr">
        <is>
          <t>Lnft</t>
        </is>
      </c>
    </row>
    <row r="64" ht="21.25" customFormat="1" customHeight="1" s="39">
      <c r="A64" s="40" t="inlineStr">
        <is>
          <t>25 Ga 6” Track</t>
        </is>
      </c>
      <c r="B64" s="41" t="inlineStr">
        <is>
          <t>256t</t>
        </is>
      </c>
      <c r="C64" s="44" t="n">
        <v>0.8706</v>
      </c>
      <c r="D64" s="42" t="n"/>
      <c r="E64" s="41" t="inlineStr">
        <is>
          <t>256t</t>
        </is>
      </c>
      <c r="F64" s="41">
        <f>A64</f>
        <v/>
      </c>
      <c r="G64" s="42" t="n"/>
      <c r="H64" s="41" t="inlineStr">
        <is>
          <t>256t</t>
        </is>
      </c>
      <c r="I64" s="41" t="inlineStr">
        <is>
          <t>Lnft</t>
        </is>
      </c>
    </row>
    <row r="65" ht="21.25" customFormat="1" customHeight="1" s="39">
      <c r="A65" s="40" t="inlineStr">
        <is>
          <t>25 Ga 6” Deep Track</t>
        </is>
      </c>
      <c r="B65" s="41" t="inlineStr">
        <is>
          <t>256dt</t>
        </is>
      </c>
      <c r="C65" s="44" t="n">
        <v>1.053</v>
      </c>
      <c r="D65" s="42" t="n"/>
      <c r="E65" s="41" t="inlineStr">
        <is>
          <t>256dt</t>
        </is>
      </c>
      <c r="F65" s="41">
        <f>A65</f>
        <v/>
      </c>
      <c r="G65" s="42" t="n"/>
      <c r="H65" s="41" t="inlineStr">
        <is>
          <t>256dt</t>
        </is>
      </c>
      <c r="I65" s="41" t="inlineStr">
        <is>
          <t>Lnft</t>
        </is>
      </c>
    </row>
    <row r="66" ht="21.25" customFormat="1" customHeight="1" s="39">
      <c r="A66" s="40" t="inlineStr">
        <is>
          <t>25 Ga 6” Slotted Track</t>
        </is>
      </c>
      <c r="B66" s="41" t="inlineStr">
        <is>
          <t>256st</t>
        </is>
      </c>
      <c r="C66" s="44" t="n">
        <v>2.0076</v>
      </c>
      <c r="D66" s="42" t="n"/>
      <c r="E66" s="41" t="inlineStr">
        <is>
          <t>256st</t>
        </is>
      </c>
      <c r="F66" s="41">
        <f>A66</f>
        <v/>
      </c>
      <c r="G66" s="42" t="n"/>
      <c r="H66" s="41" t="inlineStr">
        <is>
          <t>256st</t>
        </is>
      </c>
      <c r="I66" s="41" t="inlineStr">
        <is>
          <t>Lnft</t>
        </is>
      </c>
    </row>
    <row r="67" ht="21.25" customFormat="1" customHeight="1" s="39">
      <c r="A67" s="40" t="inlineStr">
        <is>
          <t>25 Ga 8" Stud</t>
        </is>
      </c>
      <c r="B67" s="41" t="inlineStr">
        <is>
          <t>258s</t>
        </is>
      </c>
      <c r="C67" s="44" t="inlineStr">
        <is>
          <t>?</t>
        </is>
      </c>
      <c r="D67" s="42" t="n"/>
      <c r="E67" s="41" t="inlineStr">
        <is>
          <t>258s</t>
        </is>
      </c>
      <c r="F67" s="41">
        <f>A67</f>
        <v/>
      </c>
      <c r="G67" s="42" t="n"/>
      <c r="H67" s="41" t="inlineStr">
        <is>
          <t>258s</t>
        </is>
      </c>
      <c r="I67" s="41" t="inlineStr">
        <is>
          <t>Lnft</t>
        </is>
      </c>
    </row>
    <row r="68" ht="21.25" customFormat="1" customHeight="1" s="39">
      <c r="A68" s="40" t="inlineStr">
        <is>
          <t>25 Ga 8" Track</t>
        </is>
      </c>
      <c r="B68" s="41" t="inlineStr">
        <is>
          <t>258t</t>
        </is>
      </c>
      <c r="C68" s="44" t="inlineStr">
        <is>
          <t>?</t>
        </is>
      </c>
      <c r="D68" s="42" t="n"/>
      <c r="E68" s="41" t="inlineStr">
        <is>
          <t>258t</t>
        </is>
      </c>
      <c r="F68" s="41">
        <f>A68</f>
        <v/>
      </c>
      <c r="G68" s="42" t="n"/>
      <c r="H68" s="41" t="inlineStr">
        <is>
          <t>258t</t>
        </is>
      </c>
      <c r="I68" s="41" t="inlineStr">
        <is>
          <t>Lnft</t>
        </is>
      </c>
    </row>
    <row r="69" ht="21.25" customFormat="1" customHeight="1" s="39">
      <c r="A69" s="40" t="inlineStr">
        <is>
          <t>25 Ga 8" Deep Track</t>
        </is>
      </c>
      <c r="B69" s="41" t="inlineStr">
        <is>
          <t>258dt</t>
        </is>
      </c>
      <c r="C69" s="44" t="inlineStr">
        <is>
          <t>?</t>
        </is>
      </c>
      <c r="D69" s="42" t="n"/>
      <c r="E69" s="41" t="inlineStr">
        <is>
          <t>258dt</t>
        </is>
      </c>
      <c r="F69" s="41">
        <f>A69</f>
        <v/>
      </c>
      <c r="G69" s="42" t="n"/>
      <c r="H69" s="41" t="inlineStr">
        <is>
          <t>258dt</t>
        </is>
      </c>
      <c r="I69" s="41" t="inlineStr">
        <is>
          <t>Lnft</t>
        </is>
      </c>
    </row>
    <row r="70" ht="21.25" customFormat="1" customHeight="1" s="39">
      <c r="A70" s="40" t="inlineStr">
        <is>
          <t>25 Ga 8" Slotted Track</t>
        </is>
      </c>
      <c r="B70" s="41" t="inlineStr">
        <is>
          <t>258st</t>
        </is>
      </c>
      <c r="C70" s="44" t="inlineStr">
        <is>
          <t>?</t>
        </is>
      </c>
      <c r="D70" s="42" t="n"/>
      <c r="E70" s="41" t="inlineStr">
        <is>
          <t>258st</t>
        </is>
      </c>
      <c r="F70" s="41">
        <f>A70</f>
        <v/>
      </c>
      <c r="G70" s="42" t="n"/>
      <c r="H70" s="41" t="inlineStr">
        <is>
          <t>258st</t>
        </is>
      </c>
      <c r="I70" s="41" t="inlineStr">
        <is>
          <t>Lnft</t>
        </is>
      </c>
    </row>
    <row r="71" ht="21.25" customFormat="1" customHeight="1" s="39">
      <c r="A71" s="40" t="n"/>
      <c r="B71" s="41" t="n"/>
      <c r="C71" s="44" t="n"/>
      <c r="D71" s="42" t="n"/>
      <c r="E71" s="41" t="n"/>
      <c r="F71" s="41">
        <f>A71</f>
        <v/>
      </c>
      <c r="G71" s="42" t="n"/>
      <c r="H71" s="41" t="n"/>
      <c r="I71" s="41" t="inlineStr">
        <is>
          <t>Lnft</t>
        </is>
      </c>
    </row>
    <row r="72" ht="21.25" customFormat="1" customHeight="1" s="39">
      <c r="A72" s="40" t="n"/>
      <c r="B72" s="41" t="n"/>
      <c r="C72" s="44" t="n"/>
      <c r="D72" s="42" t="n"/>
      <c r="E72" s="41" t="n"/>
      <c r="F72" s="41">
        <f>A72</f>
        <v/>
      </c>
      <c r="G72" s="42" t="n"/>
      <c r="H72" s="41" t="n"/>
      <c r="I72" s="41" t="inlineStr">
        <is>
          <t>Lnft</t>
        </is>
      </c>
    </row>
    <row r="73" ht="21.25" customFormat="1" customHeight="1" s="39">
      <c r="A73" s="40" t="inlineStr">
        <is>
          <t>20 Ga 1 5/8” Stud</t>
        </is>
      </c>
      <c r="B73" s="41" t="inlineStr">
        <is>
          <t>201s</t>
        </is>
      </c>
      <c r="C73" s="44" t="n">
        <v>0.9593</v>
      </c>
      <c r="D73" s="42" t="n"/>
      <c r="E73" s="41" t="inlineStr">
        <is>
          <t>201s</t>
        </is>
      </c>
      <c r="F73" s="41">
        <f>A73</f>
        <v/>
      </c>
      <c r="G73" s="42" t="n"/>
      <c r="H73" s="41" t="inlineStr">
        <is>
          <t>201s</t>
        </is>
      </c>
      <c r="I73" s="41" t="inlineStr">
        <is>
          <t>Lnft</t>
        </is>
      </c>
    </row>
    <row r="74" ht="21.25" customFormat="1" customHeight="1" s="39">
      <c r="A74" s="40" t="inlineStr">
        <is>
          <t>20 Ga 1 5/8” Track</t>
        </is>
      </c>
      <c r="B74" s="41" t="inlineStr">
        <is>
          <t>201t</t>
        </is>
      </c>
      <c r="C74" s="44" t="n">
        <v>0.8428</v>
      </c>
      <c r="D74" s="42" t="n"/>
      <c r="E74" s="41" t="inlineStr">
        <is>
          <t>201t</t>
        </is>
      </c>
      <c r="F74" s="41">
        <f>A74</f>
        <v/>
      </c>
      <c r="G74" s="42" t="n"/>
      <c r="H74" s="41" t="inlineStr">
        <is>
          <t>201t</t>
        </is>
      </c>
      <c r="I74" s="41" t="inlineStr">
        <is>
          <t>Lnft</t>
        </is>
      </c>
    </row>
    <row r="75" ht="21.25" customFormat="1" customHeight="1" s="39">
      <c r="A75" s="40" t="inlineStr">
        <is>
          <t>20 Ga 1 5/8” Deep Tack</t>
        </is>
      </c>
      <c r="B75" s="41" t="inlineStr">
        <is>
          <t>201dt</t>
        </is>
      </c>
      <c r="C75" s="44" t="n">
        <v>1.1423</v>
      </c>
      <c r="D75" s="42" t="n"/>
      <c r="E75" s="41" t="inlineStr">
        <is>
          <t>201dt</t>
        </is>
      </c>
      <c r="F75" s="41">
        <f>A75</f>
        <v/>
      </c>
      <c r="G75" s="42" t="n"/>
      <c r="H75" s="41" t="inlineStr">
        <is>
          <t>201dt</t>
        </is>
      </c>
      <c r="I75" s="41" t="inlineStr">
        <is>
          <t>Lnft</t>
        </is>
      </c>
    </row>
    <row r="76" ht="21.25" customFormat="1" customHeight="1" s="39">
      <c r="A76" s="40" t="inlineStr">
        <is>
          <t xml:space="preserve">20 Ga 2 1/2” Stud </t>
        </is>
      </c>
      <c r="B76" s="41" t="inlineStr">
        <is>
          <t>202s</t>
        </is>
      </c>
      <c r="C76" s="44" t="n">
        <v>1.0474</v>
      </c>
      <c r="D76" s="42" t="n"/>
      <c r="E76" s="41" t="inlineStr">
        <is>
          <t>202s</t>
        </is>
      </c>
      <c r="F76" s="41">
        <f>A76</f>
        <v/>
      </c>
      <c r="G76" s="42" t="n"/>
      <c r="H76" s="41" t="inlineStr">
        <is>
          <t>202s</t>
        </is>
      </c>
      <c r="I76" s="41" t="inlineStr">
        <is>
          <t>Lnft</t>
        </is>
      </c>
    </row>
    <row r="77" ht="21.25" customFormat="1" customHeight="1" s="39">
      <c r="A77" s="40" t="inlineStr">
        <is>
          <t>20 Ga 2 1/2” Track</t>
        </is>
      </c>
      <c r="B77" s="41" t="inlineStr">
        <is>
          <t>202t</t>
        </is>
      </c>
      <c r="C77" s="44" t="n">
        <v>0.8959</v>
      </c>
      <c r="D77" s="42" t="n"/>
      <c r="E77" s="41" t="inlineStr">
        <is>
          <t>202t</t>
        </is>
      </c>
      <c r="F77" s="41">
        <f>A77</f>
        <v/>
      </c>
      <c r="G77" s="42" t="n"/>
      <c r="H77" s="41" t="inlineStr">
        <is>
          <t>202t</t>
        </is>
      </c>
      <c r="I77" s="41" t="inlineStr">
        <is>
          <t>Lnft</t>
        </is>
      </c>
    </row>
    <row r="78" ht="21.25" customFormat="1" customHeight="1" s="39">
      <c r="A78" s="40" t="inlineStr">
        <is>
          <t>20 Ga 2 1/2” Deep Track</t>
        </is>
      </c>
      <c r="B78" s="41" t="inlineStr">
        <is>
          <t>202dt</t>
        </is>
      </c>
      <c r="C78" s="44" t="n">
        <v>1.2088</v>
      </c>
      <c r="D78" s="42" t="n"/>
      <c r="E78" s="41" t="inlineStr">
        <is>
          <t>202dt</t>
        </is>
      </c>
      <c r="F78" s="41">
        <f>A78</f>
        <v/>
      </c>
      <c r="G78" s="42" t="n"/>
      <c r="H78" s="41" t="inlineStr">
        <is>
          <t>202dt</t>
        </is>
      </c>
      <c r="I78" s="41" t="inlineStr">
        <is>
          <t>Lnft</t>
        </is>
      </c>
    </row>
    <row r="79" ht="21.25" customFormat="1" customHeight="1" s="39">
      <c r="A79" s="40" t="inlineStr">
        <is>
          <t>20 Ga 2 1/2 Slotted Track</t>
        </is>
      </c>
      <c r="B79" s="41" t="inlineStr">
        <is>
          <t>202st</t>
        </is>
      </c>
      <c r="C79" s="44" t="n">
        <v>2.5533</v>
      </c>
      <c r="D79" s="42" t="n"/>
      <c r="E79" s="41" t="inlineStr">
        <is>
          <t>202st</t>
        </is>
      </c>
      <c r="F79" s="41">
        <f>A79</f>
        <v/>
      </c>
      <c r="G79" s="42" t="n"/>
      <c r="H79" s="41" t="inlineStr">
        <is>
          <t>202st</t>
        </is>
      </c>
      <c r="I79" s="41" t="inlineStr">
        <is>
          <t>Lnft</t>
        </is>
      </c>
    </row>
    <row r="80" ht="21.25" customFormat="1" customHeight="1" s="39">
      <c r="A80" s="40" t="inlineStr">
        <is>
          <t>20 Ga 3 5/8” Stud</t>
        </is>
      </c>
      <c r="B80" s="41" t="inlineStr">
        <is>
          <t>203s</t>
        </is>
      </c>
      <c r="C80" s="44" t="n">
        <v>1.1837</v>
      </c>
      <c r="D80" s="42" t="n"/>
      <c r="E80" s="41" t="inlineStr">
        <is>
          <t>203s</t>
        </is>
      </c>
      <c r="F80" s="41">
        <f>A80</f>
        <v/>
      </c>
      <c r="G80" s="42" t="n"/>
      <c r="H80" s="41" t="inlineStr">
        <is>
          <t>203s</t>
        </is>
      </c>
      <c r="I80" s="41" t="inlineStr">
        <is>
          <t>Lnft</t>
        </is>
      </c>
    </row>
    <row r="81" ht="21.25" customFormat="1" customHeight="1" s="39">
      <c r="A81" s="40" t="inlineStr">
        <is>
          <t>20 Ga 3 5/8” Track</t>
        </is>
      </c>
      <c r="B81" s="41" t="inlineStr">
        <is>
          <t>203t</t>
        </is>
      </c>
      <c r="C81" s="44" t="n">
        <v>1.1387</v>
      </c>
      <c r="D81" s="42" t="n"/>
      <c r="E81" s="41" t="inlineStr">
        <is>
          <t>203t</t>
        </is>
      </c>
      <c r="F81" s="41">
        <f>A81</f>
        <v/>
      </c>
      <c r="G81" s="42" t="n"/>
      <c r="H81" s="41" t="inlineStr">
        <is>
          <t>203t</t>
        </is>
      </c>
      <c r="I81" s="41" t="inlineStr">
        <is>
          <t>Lnft</t>
        </is>
      </c>
    </row>
    <row r="82" ht="21.25" customFormat="1" customHeight="1" s="39">
      <c r="A82" s="40" t="inlineStr">
        <is>
          <t>20 Ga 3 5/8” Deep Track</t>
        </is>
      </c>
      <c r="B82" s="41" t="inlineStr">
        <is>
          <t>203dt</t>
        </is>
      </c>
      <c r="C82" s="44" t="n">
        <v>1.3863</v>
      </c>
      <c r="D82" s="42" t="n"/>
      <c r="E82" s="41" t="inlineStr">
        <is>
          <t>203dt</t>
        </is>
      </c>
      <c r="F82" s="41">
        <f>A82</f>
        <v/>
      </c>
      <c r="G82" s="42" t="n"/>
      <c r="H82" s="41" t="inlineStr">
        <is>
          <t>203dt</t>
        </is>
      </c>
      <c r="I82" s="41" t="inlineStr">
        <is>
          <t>Lnft</t>
        </is>
      </c>
    </row>
    <row r="83" ht="21.25" customFormat="1" customHeight="1" s="39">
      <c r="A83" s="40" t="inlineStr">
        <is>
          <t>20 Ga 3 5/8" Slotted Track</t>
        </is>
      </c>
      <c r="B83" s="41" t="inlineStr">
        <is>
          <t>203st</t>
        </is>
      </c>
      <c r="C83" s="44" t="n">
        <v>2.8554</v>
      </c>
      <c r="D83" s="42" t="n"/>
      <c r="E83" s="41" t="inlineStr">
        <is>
          <t>203st</t>
        </is>
      </c>
      <c r="F83" s="41">
        <f>A83</f>
        <v/>
      </c>
      <c r="G83" s="42" t="n"/>
      <c r="H83" s="41" t="inlineStr">
        <is>
          <t>203st</t>
        </is>
      </c>
      <c r="I83" s="41" t="inlineStr">
        <is>
          <t>Lnft</t>
        </is>
      </c>
    </row>
    <row r="84" ht="21.25" customFormat="1" customHeight="1" s="39">
      <c r="A84" s="40" t="inlineStr">
        <is>
          <t>20 Ga 6" Stud</t>
        </is>
      </c>
      <c r="B84" s="41" t="inlineStr">
        <is>
          <t>206s</t>
        </is>
      </c>
      <c r="C84" s="44" t="n">
        <v>1.685</v>
      </c>
      <c r="D84" s="42" t="n"/>
      <c r="E84" s="41" t="inlineStr">
        <is>
          <t>206s</t>
        </is>
      </c>
      <c r="F84" s="41">
        <f>A84</f>
        <v/>
      </c>
      <c r="G84" s="42" t="n"/>
      <c r="H84" s="41" t="inlineStr">
        <is>
          <t>206s</t>
        </is>
      </c>
      <c r="I84" s="41" t="inlineStr">
        <is>
          <t>Lnft</t>
        </is>
      </c>
    </row>
    <row r="85" ht="21.25" customFormat="1" customHeight="1" s="39">
      <c r="A85" s="40" t="inlineStr">
        <is>
          <t>20 Ga 6” Track</t>
        </is>
      </c>
      <c r="B85" s="41" t="inlineStr">
        <is>
          <t>206t</t>
        </is>
      </c>
      <c r="C85" s="44" t="n">
        <v>1.5032</v>
      </c>
      <c r="D85" s="42" t="n"/>
      <c r="E85" s="41" t="inlineStr">
        <is>
          <t>206t</t>
        </is>
      </c>
      <c r="F85" s="41">
        <f>A85</f>
        <v/>
      </c>
      <c r="G85" s="42" t="n"/>
      <c r="H85" s="41" t="inlineStr">
        <is>
          <t>206t</t>
        </is>
      </c>
      <c r="I85" s="41" t="inlineStr">
        <is>
          <t>Lnft</t>
        </is>
      </c>
    </row>
    <row r="86" ht="21.25" customFormat="1" customHeight="1" s="39">
      <c r="A86" s="40" t="inlineStr">
        <is>
          <t>20 Ga 6” Deep Track</t>
        </is>
      </c>
      <c r="B86" s="41" t="inlineStr">
        <is>
          <t>206dt</t>
        </is>
      </c>
      <c r="C86" s="44" t="n">
        <v>1.902</v>
      </c>
      <c r="D86" s="42" t="n"/>
      <c r="E86" s="41" t="inlineStr">
        <is>
          <t>206dt</t>
        </is>
      </c>
      <c r="F86" s="41">
        <f>A86</f>
        <v/>
      </c>
      <c r="G86" s="42" t="n"/>
      <c r="H86" s="41" t="inlineStr">
        <is>
          <t>206dt</t>
        </is>
      </c>
      <c r="I86" s="41" t="inlineStr">
        <is>
          <t>Lnft</t>
        </is>
      </c>
    </row>
    <row r="87" ht="21.25" customFormat="1" customHeight="1" s="39">
      <c r="A87" s="40" t="inlineStr">
        <is>
          <t>20 Ga 6” Slotted Track</t>
        </is>
      </c>
      <c r="B87" s="41" t="inlineStr">
        <is>
          <t>206st</t>
        </is>
      </c>
      <c r="C87" s="44" t="n">
        <v>3.3768</v>
      </c>
      <c r="D87" s="42" t="n"/>
      <c r="E87" s="41" t="inlineStr">
        <is>
          <t>206st</t>
        </is>
      </c>
      <c r="F87" s="41">
        <f>A87</f>
        <v/>
      </c>
      <c r="G87" s="42" t="n"/>
      <c r="H87" s="41" t="inlineStr">
        <is>
          <t>206st</t>
        </is>
      </c>
      <c r="I87" s="41" t="inlineStr">
        <is>
          <t>Lnft</t>
        </is>
      </c>
    </row>
    <row r="88" ht="21.25" customFormat="1" customHeight="1" s="39">
      <c r="A88" s="40" t="inlineStr">
        <is>
          <t>20 Ga 8" Stud</t>
        </is>
      </c>
      <c r="B88" s="41" t="inlineStr">
        <is>
          <t>208s</t>
        </is>
      </c>
      <c r="C88" s="44" t="n">
        <v>2.2402</v>
      </c>
      <c r="D88" s="42" t="n"/>
      <c r="E88" s="41" t="inlineStr">
        <is>
          <t>208s</t>
        </is>
      </c>
      <c r="F88" s="41">
        <f>A88</f>
        <v/>
      </c>
      <c r="G88" s="42" t="n"/>
      <c r="H88" s="41" t="inlineStr">
        <is>
          <t>208s</t>
        </is>
      </c>
      <c r="I88" s="41" t="inlineStr">
        <is>
          <t>Lnft</t>
        </is>
      </c>
    </row>
    <row r="89" ht="21.25" customFormat="1" customHeight="1" s="39">
      <c r="A89" s="40" t="inlineStr">
        <is>
          <t>20 Ga 8” Track</t>
        </is>
      </c>
      <c r="B89" s="41" t="inlineStr">
        <is>
          <t>208t</t>
        </is>
      </c>
      <c r="C89" s="44" t="n">
        <v>2.0628</v>
      </c>
      <c r="D89" s="42" t="n"/>
      <c r="E89" s="41" t="inlineStr">
        <is>
          <t>208t</t>
        </is>
      </c>
      <c r="F89" s="41">
        <f>A89</f>
        <v/>
      </c>
      <c r="G89" s="42" t="n"/>
      <c r="H89" s="41" t="inlineStr">
        <is>
          <t>208t</t>
        </is>
      </c>
      <c r="I89" s="41" t="inlineStr">
        <is>
          <t>Lnft</t>
        </is>
      </c>
    </row>
    <row r="90" ht="21.25" customFormat="1" customHeight="1" s="39">
      <c r="A90" s="40" t="inlineStr">
        <is>
          <t>20 Ga 8” Deep Track</t>
        </is>
      </c>
      <c r="B90" s="41" t="inlineStr">
        <is>
          <t>208dt</t>
        </is>
      </c>
      <c r="C90" s="42" t="n">
        <v>2.3677</v>
      </c>
      <c r="D90" s="42" t="n"/>
      <c r="E90" s="41" t="inlineStr">
        <is>
          <t>208dt</t>
        </is>
      </c>
      <c r="F90" s="41">
        <f>A90</f>
        <v/>
      </c>
      <c r="G90" s="42" t="n"/>
      <c r="H90" s="41" t="inlineStr">
        <is>
          <t>208dt</t>
        </is>
      </c>
      <c r="I90" s="41" t="inlineStr">
        <is>
          <t>Lnft</t>
        </is>
      </c>
    </row>
    <row r="91" ht="21.25" customFormat="1" customHeight="1" s="39">
      <c r="A91" s="40" t="inlineStr">
        <is>
          <t>20 Ga 8” Slotted Track</t>
        </is>
      </c>
      <c r="B91" s="41" t="inlineStr">
        <is>
          <t>208st</t>
        </is>
      </c>
      <c r="C91" s="44" t="n">
        <v>4.2247</v>
      </c>
      <c r="D91" s="42" t="n"/>
      <c r="E91" s="41" t="inlineStr">
        <is>
          <t>208st</t>
        </is>
      </c>
      <c r="F91" s="41">
        <f>A91</f>
        <v/>
      </c>
      <c r="G91" s="42" t="n"/>
      <c r="H91" s="41" t="inlineStr">
        <is>
          <t>208st</t>
        </is>
      </c>
      <c r="I91" s="41" t="inlineStr">
        <is>
          <t>Lnft</t>
        </is>
      </c>
    </row>
    <row r="92" ht="21.25" customFormat="1" customHeight="1" s="39">
      <c r="A92" s="40" t="inlineStr">
        <is>
          <t>20 Ga 2 1/2” Stud 1 5/8” Flange'</t>
        </is>
      </c>
      <c r="B92" s="41" t="inlineStr">
        <is>
          <t>202swl</t>
        </is>
      </c>
      <c r="C92" s="44" t="inlineStr">
        <is>
          <t>?</t>
        </is>
      </c>
      <c r="D92" s="42" t="n"/>
      <c r="E92" s="41" t="inlineStr">
        <is>
          <t>202swl</t>
        </is>
      </c>
      <c r="F92" s="41">
        <f>A92</f>
        <v/>
      </c>
      <c r="G92" s="42" t="n"/>
      <c r="H92" s="41" t="inlineStr">
        <is>
          <t>202swl</t>
        </is>
      </c>
      <c r="I92" s="41" t="inlineStr">
        <is>
          <t>Lnft</t>
        </is>
      </c>
    </row>
    <row r="93" ht="21.25" customFormat="1" customHeight="1" s="39">
      <c r="A93" s="40" t="inlineStr">
        <is>
          <t>20 Ga 3 5/8” Stud 1 5/8” Flange</t>
        </is>
      </c>
      <c r="B93" s="41" t="inlineStr">
        <is>
          <t>203swl</t>
        </is>
      </c>
      <c r="C93" s="44" t="n">
        <v>1.4656</v>
      </c>
      <c r="D93" s="42" t="n"/>
      <c r="E93" s="41" t="inlineStr">
        <is>
          <t>203swl</t>
        </is>
      </c>
      <c r="F93" s="41">
        <f>A93</f>
        <v/>
      </c>
      <c r="G93" s="42" t="n"/>
      <c r="H93" s="41" t="inlineStr">
        <is>
          <t>203swl</t>
        </is>
      </c>
      <c r="I93" s="41" t="inlineStr">
        <is>
          <t>Lnft</t>
        </is>
      </c>
    </row>
    <row r="94" ht="21.25" customFormat="1" customHeight="1" s="39">
      <c r="A94" s="40" t="inlineStr">
        <is>
          <t>20 Ga 6" Stud 1 5/8” Flange</t>
        </is>
      </c>
      <c r="B94" s="41" t="inlineStr">
        <is>
          <t>206swl</t>
        </is>
      </c>
      <c r="C94" s="44" t="n">
        <v>1.9729</v>
      </c>
      <c r="D94" s="42" t="n"/>
      <c r="E94" s="41" t="inlineStr">
        <is>
          <t>206swl</t>
        </is>
      </c>
      <c r="F94" s="41">
        <f>A94</f>
        <v/>
      </c>
      <c r="G94" s="42" t="n"/>
      <c r="H94" s="41" t="inlineStr">
        <is>
          <t>206swl</t>
        </is>
      </c>
      <c r="I94" s="41" t="inlineStr">
        <is>
          <t>Lnft</t>
        </is>
      </c>
    </row>
    <row r="95" ht="21.25" customFormat="1" customHeight="1" s="39">
      <c r="A95" s="40" t="inlineStr">
        <is>
          <t>20 Ga 8" Stud 1 5/8" Flange</t>
        </is>
      </c>
      <c r="B95" s="41" t="inlineStr">
        <is>
          <t>208swl</t>
        </is>
      </c>
      <c r="C95" s="44" t="n">
        <v>2.4194</v>
      </c>
      <c r="D95" s="42" t="n"/>
      <c r="E95" s="41" t="inlineStr">
        <is>
          <t>208swl</t>
        </is>
      </c>
      <c r="F95" s="41">
        <f>A95</f>
        <v/>
      </c>
      <c r="G95" s="42" t="n"/>
      <c r="H95" s="41" t="inlineStr">
        <is>
          <t>208swl</t>
        </is>
      </c>
      <c r="I95" s="41" t="inlineStr">
        <is>
          <t>Lnft</t>
        </is>
      </c>
    </row>
    <row r="96" ht="21.25" customFormat="1" customHeight="1" s="39">
      <c r="A96" s="40" t="n"/>
      <c r="B96" s="41" t="n"/>
      <c r="C96" s="44" t="n"/>
      <c r="D96" s="42" t="n"/>
      <c r="E96" s="41" t="n"/>
      <c r="F96" s="41">
        <f>A96</f>
        <v/>
      </c>
      <c r="G96" s="42" t="n"/>
      <c r="H96" s="41" t="n"/>
      <c r="I96" s="41" t="inlineStr">
        <is>
          <t>Lnft</t>
        </is>
      </c>
    </row>
    <row r="97" ht="21.25" customFormat="1" customHeight="1" s="39">
      <c r="A97" s="40" t="inlineStr">
        <is>
          <t>18 Ga 1 5/8” Stud</t>
        </is>
      </c>
      <c r="B97" s="41" t="inlineStr">
        <is>
          <t>181s</t>
        </is>
      </c>
      <c r="C97" s="44" t="inlineStr">
        <is>
          <t>?</t>
        </is>
      </c>
      <c r="D97" s="42" t="n"/>
      <c r="E97" s="41" t="inlineStr">
        <is>
          <t>181s</t>
        </is>
      </c>
      <c r="F97" s="41">
        <f>A97</f>
        <v/>
      </c>
      <c r="G97" s="42" t="n"/>
      <c r="H97" s="41" t="inlineStr">
        <is>
          <t>181s</t>
        </is>
      </c>
      <c r="I97" s="41" t="inlineStr">
        <is>
          <t>Lnft</t>
        </is>
      </c>
    </row>
    <row r="98" ht="21.25" customFormat="1" customHeight="1" s="39">
      <c r="A98" s="40" t="inlineStr">
        <is>
          <t>18 Ga 1 5/8” Track</t>
        </is>
      </c>
      <c r="B98" s="41" t="inlineStr">
        <is>
          <t>181t</t>
        </is>
      </c>
      <c r="C98" s="44" t="inlineStr">
        <is>
          <t>?</t>
        </is>
      </c>
      <c r="D98" s="42" t="n"/>
      <c r="E98" s="41" t="inlineStr">
        <is>
          <t>181t</t>
        </is>
      </c>
      <c r="F98" s="41">
        <f>A98</f>
        <v/>
      </c>
      <c r="G98" s="42" t="n"/>
      <c r="H98" s="41" t="inlineStr">
        <is>
          <t>181t</t>
        </is>
      </c>
      <c r="I98" s="41" t="inlineStr">
        <is>
          <t>Lnft</t>
        </is>
      </c>
    </row>
    <row r="99" ht="21.25" customFormat="1" customHeight="1" s="39">
      <c r="A99" s="40" t="inlineStr">
        <is>
          <t>18 Ga 1 5/8” Deep Tack</t>
        </is>
      </c>
      <c r="B99" s="41" t="inlineStr">
        <is>
          <t>181dt</t>
        </is>
      </c>
      <c r="C99" s="44" t="inlineStr">
        <is>
          <t>?</t>
        </is>
      </c>
      <c r="D99" s="42" t="n"/>
      <c r="E99" s="41" t="inlineStr">
        <is>
          <t>181dt</t>
        </is>
      </c>
      <c r="F99" s="41">
        <f>A99</f>
        <v/>
      </c>
      <c r="G99" s="42" t="n"/>
      <c r="H99" s="41" t="inlineStr">
        <is>
          <t>181dt</t>
        </is>
      </c>
      <c r="I99" s="41" t="inlineStr">
        <is>
          <t>Lnft</t>
        </is>
      </c>
    </row>
    <row r="100" ht="21.25" customFormat="1" customHeight="1" s="39">
      <c r="A100" s="40" t="inlineStr">
        <is>
          <t xml:space="preserve">18 Ga 2 1/2” Stud </t>
        </is>
      </c>
      <c r="B100" s="41" t="inlineStr">
        <is>
          <t>182s</t>
        </is>
      </c>
      <c r="C100" s="44" t="inlineStr">
        <is>
          <t>?</t>
        </is>
      </c>
      <c r="D100" s="42" t="n"/>
      <c r="E100" s="41" t="inlineStr">
        <is>
          <t>182s</t>
        </is>
      </c>
      <c r="F100" s="41">
        <f>A100</f>
        <v/>
      </c>
      <c r="G100" s="42" t="n"/>
      <c r="H100" s="41" t="inlineStr">
        <is>
          <t>182s</t>
        </is>
      </c>
      <c r="I100" s="41" t="inlineStr">
        <is>
          <t>Lnft</t>
        </is>
      </c>
    </row>
    <row r="101" ht="21.25" customFormat="1" customHeight="1" s="39">
      <c r="A101" s="40" t="inlineStr">
        <is>
          <t>18 Ga 2 1/2” Track</t>
        </is>
      </c>
      <c r="B101" s="41" t="inlineStr">
        <is>
          <t>182t</t>
        </is>
      </c>
      <c r="C101" s="44" t="inlineStr">
        <is>
          <t>?</t>
        </is>
      </c>
      <c r="D101" s="42" t="n"/>
      <c r="E101" s="41" t="inlineStr">
        <is>
          <t>182t</t>
        </is>
      </c>
      <c r="F101" s="41">
        <f>A101</f>
        <v/>
      </c>
      <c r="G101" s="42" t="n"/>
      <c r="H101" s="41" t="inlineStr">
        <is>
          <t>182t</t>
        </is>
      </c>
      <c r="I101" s="41" t="inlineStr">
        <is>
          <t>Lnft</t>
        </is>
      </c>
    </row>
    <row r="102" ht="21.25" customFormat="1" customHeight="1" s="39">
      <c r="A102" s="40" t="inlineStr">
        <is>
          <t>18 Ga 2 1/2” Deep Track</t>
        </is>
      </c>
      <c r="B102" s="41" t="inlineStr">
        <is>
          <t>182dt</t>
        </is>
      </c>
      <c r="C102" s="44" t="inlineStr">
        <is>
          <t>?</t>
        </is>
      </c>
      <c r="D102" s="42" t="n"/>
      <c r="E102" s="41" t="inlineStr">
        <is>
          <t>182dt</t>
        </is>
      </c>
      <c r="F102" s="41">
        <f>A102</f>
        <v/>
      </c>
      <c r="G102" s="42" t="n"/>
      <c r="H102" s="41" t="inlineStr">
        <is>
          <t>182dt</t>
        </is>
      </c>
      <c r="I102" s="41" t="inlineStr">
        <is>
          <t>Lnft</t>
        </is>
      </c>
    </row>
    <row r="103" ht="21.25" customFormat="1" customHeight="1" s="39">
      <c r="A103" s="40" t="inlineStr">
        <is>
          <t>18 Ga 2 1/2 Slotted Track</t>
        </is>
      </c>
      <c r="B103" s="41" t="inlineStr">
        <is>
          <t>182st</t>
        </is>
      </c>
      <c r="C103" s="44" t="inlineStr">
        <is>
          <t>?</t>
        </is>
      </c>
      <c r="D103" s="42" t="n"/>
      <c r="E103" s="41" t="inlineStr">
        <is>
          <t>182st</t>
        </is>
      </c>
      <c r="F103" s="41">
        <f>A103</f>
        <v/>
      </c>
      <c r="G103" s="42" t="n"/>
      <c r="H103" s="41" t="inlineStr">
        <is>
          <t>182st</t>
        </is>
      </c>
      <c r="I103" s="41" t="inlineStr">
        <is>
          <t>Lnft</t>
        </is>
      </c>
    </row>
    <row r="104" ht="21.25" customFormat="1" customHeight="1" s="39">
      <c r="A104" s="40" t="inlineStr">
        <is>
          <t>18 Ga 3 5/8” Stud</t>
        </is>
      </c>
      <c r="B104" s="41" t="inlineStr">
        <is>
          <t>183s</t>
        </is>
      </c>
      <c r="C104" s="44" t="n">
        <v>1.658</v>
      </c>
      <c r="D104" s="42" t="n"/>
      <c r="E104" s="41" t="inlineStr">
        <is>
          <t>183s</t>
        </is>
      </c>
      <c r="F104" s="41">
        <f>A104</f>
        <v/>
      </c>
      <c r="G104" s="42" t="n"/>
      <c r="H104" s="41" t="inlineStr">
        <is>
          <t>183s</t>
        </is>
      </c>
      <c r="I104" s="41" t="inlineStr">
        <is>
          <t>Lnft</t>
        </is>
      </c>
    </row>
    <row r="105" ht="21.25" customFormat="1" customHeight="1" s="39">
      <c r="A105" s="40" t="inlineStr">
        <is>
          <t>18 Ga 3 5/8” Track</t>
        </is>
      </c>
      <c r="B105" s="41" t="inlineStr">
        <is>
          <t>183t</t>
        </is>
      </c>
      <c r="C105" s="44" t="n">
        <v>1.6721</v>
      </c>
      <c r="D105" s="42" t="n"/>
      <c r="E105" s="41" t="inlineStr">
        <is>
          <t>183t</t>
        </is>
      </c>
      <c r="F105" s="41">
        <f>A105</f>
        <v/>
      </c>
      <c r="G105" s="42" t="n"/>
      <c r="H105" s="41" t="inlineStr">
        <is>
          <t>183t</t>
        </is>
      </c>
      <c r="I105" s="41" t="inlineStr">
        <is>
          <t>Lnft</t>
        </is>
      </c>
    </row>
    <row r="106" ht="21.25" customFormat="1" customHeight="1" s="39">
      <c r="A106" s="40" t="inlineStr">
        <is>
          <t>18 Ga 3 5/8” Deep Track</t>
        </is>
      </c>
      <c r="B106" s="41" t="inlineStr">
        <is>
          <t>183dt</t>
        </is>
      </c>
      <c r="C106" s="44" t="n">
        <v>2.1659</v>
      </c>
      <c r="D106" s="42" t="n"/>
      <c r="E106" s="41" t="inlineStr">
        <is>
          <t>183dt</t>
        </is>
      </c>
      <c r="F106" s="41">
        <f>A106</f>
        <v/>
      </c>
      <c r="G106" s="42" t="n"/>
      <c r="H106" s="41" t="inlineStr">
        <is>
          <t>183dt</t>
        </is>
      </c>
      <c r="I106" s="41" t="inlineStr">
        <is>
          <t>Lnft</t>
        </is>
      </c>
    </row>
    <row r="107" ht="21.25" customFormat="1" customHeight="1" s="39">
      <c r="A107" s="40" t="inlineStr">
        <is>
          <t>18 Ga 3 5/8" Slotted Track</t>
        </is>
      </c>
      <c r="B107" s="41" t="inlineStr">
        <is>
          <t>183st</t>
        </is>
      </c>
      <c r="C107" s="44" t="n">
        <v>3.7035</v>
      </c>
      <c r="D107" s="42" t="n"/>
      <c r="E107" s="41" t="inlineStr">
        <is>
          <t>183st</t>
        </is>
      </c>
      <c r="F107" s="41">
        <f>A107</f>
        <v/>
      </c>
      <c r="G107" s="42" t="n"/>
      <c r="H107" s="41" t="inlineStr">
        <is>
          <t>183st</t>
        </is>
      </c>
      <c r="I107" s="41" t="inlineStr">
        <is>
          <t>Lnft</t>
        </is>
      </c>
    </row>
    <row r="108" ht="21.25" customFormat="1" customHeight="1" s="39">
      <c r="A108" s="40" t="inlineStr">
        <is>
          <t>18 Ga 6” Stud</t>
        </is>
      </c>
      <c r="B108" s="41" t="inlineStr">
        <is>
          <t>186s</t>
        </is>
      </c>
      <c r="C108" s="44" t="n">
        <v>2.205</v>
      </c>
      <c r="D108" s="42" t="n"/>
      <c r="E108" s="41" t="inlineStr">
        <is>
          <t>186s</t>
        </is>
      </c>
      <c r="F108" s="41">
        <f>A108</f>
        <v/>
      </c>
      <c r="G108" s="42" t="n"/>
      <c r="H108" s="41" t="inlineStr">
        <is>
          <t>186s</t>
        </is>
      </c>
      <c r="I108" s="41" t="inlineStr">
        <is>
          <t>Lnft</t>
        </is>
      </c>
    </row>
    <row r="109" ht="21.25" customFormat="1" customHeight="1" s="39">
      <c r="A109" s="40" t="inlineStr">
        <is>
          <t>18 Ga 6” Track</t>
        </is>
      </c>
      <c r="B109" s="41" t="inlineStr">
        <is>
          <t>186t</t>
        </is>
      </c>
      <c r="C109" s="44" t="n">
        <v>2.3698</v>
      </c>
      <c r="D109" s="42" t="n"/>
      <c r="E109" s="41" t="inlineStr">
        <is>
          <t>186t</t>
        </is>
      </c>
      <c r="F109" s="41">
        <f>A109</f>
        <v/>
      </c>
      <c r="G109" s="42" t="n"/>
      <c r="H109" s="41" t="inlineStr">
        <is>
          <t>186t</t>
        </is>
      </c>
      <c r="I109" s="41" t="inlineStr">
        <is>
          <t>Lnft</t>
        </is>
      </c>
    </row>
    <row r="110" ht="21.25" customFormat="1" customHeight="1" s="39">
      <c r="A110" s="40" t="inlineStr">
        <is>
          <t>18 Ga 6” Deep Track</t>
        </is>
      </c>
      <c r="B110" s="41" t="inlineStr">
        <is>
          <t>186dt</t>
        </is>
      </c>
      <c r="C110" s="44" t="n">
        <v>2.8229</v>
      </c>
      <c r="D110" s="42" t="n"/>
      <c r="E110" s="41" t="inlineStr">
        <is>
          <t>186dt</t>
        </is>
      </c>
      <c r="F110" s="41">
        <f>A110</f>
        <v/>
      </c>
      <c r="G110" s="42" t="n"/>
      <c r="H110" s="41" t="inlineStr">
        <is>
          <t>186dt</t>
        </is>
      </c>
      <c r="I110" s="41" t="inlineStr">
        <is>
          <t>Lnft</t>
        </is>
      </c>
    </row>
    <row r="111" ht="21.25" customFormat="1" customHeight="1" s="39">
      <c r="A111" s="40" t="inlineStr">
        <is>
          <t>18 Ga 6” Slotted Track</t>
        </is>
      </c>
      <c r="B111" s="41" t="inlineStr">
        <is>
          <t>186st</t>
        </is>
      </c>
      <c r="C111" s="42" t="n">
        <v>4.3849</v>
      </c>
      <c r="D111" s="42" t="n"/>
      <c r="E111" s="41" t="inlineStr">
        <is>
          <t>186st</t>
        </is>
      </c>
      <c r="F111" s="41">
        <f>A111</f>
        <v/>
      </c>
      <c r="G111" s="42" t="n"/>
      <c r="H111" s="41" t="inlineStr">
        <is>
          <t>186st</t>
        </is>
      </c>
      <c r="I111" s="41" t="inlineStr">
        <is>
          <t>Lnft</t>
        </is>
      </c>
    </row>
    <row r="112" ht="21.25" customFormat="1" customHeight="1" s="39">
      <c r="A112" s="40" t="inlineStr">
        <is>
          <t>18 Ga 8" Stud</t>
        </is>
      </c>
      <c r="B112" s="41" t="inlineStr">
        <is>
          <t>188s</t>
        </is>
      </c>
      <c r="C112" s="42" t="n">
        <v>2.8664</v>
      </c>
      <c r="D112" s="42" t="n"/>
      <c r="E112" s="41" t="inlineStr">
        <is>
          <t>188s</t>
        </is>
      </c>
      <c r="F112" s="41">
        <f>A112</f>
        <v/>
      </c>
      <c r="G112" s="42" t="n"/>
      <c r="H112" s="41" t="inlineStr">
        <is>
          <t>188s</t>
        </is>
      </c>
      <c r="I112" s="41" t="inlineStr">
        <is>
          <t>Lnft</t>
        </is>
      </c>
    </row>
    <row r="113" ht="21.25" customFormat="1" customHeight="1" s="39">
      <c r="A113" s="40" t="inlineStr">
        <is>
          <t>18 Ga 8” Track</t>
        </is>
      </c>
      <c r="B113" s="41" t="inlineStr">
        <is>
          <t>188t</t>
        </is>
      </c>
      <c r="C113" s="42" t="n">
        <v>3.1878</v>
      </c>
      <c r="D113" s="42" t="n"/>
      <c r="E113" s="41" t="inlineStr">
        <is>
          <t>188t</t>
        </is>
      </c>
      <c r="F113" s="41">
        <f>A113</f>
        <v/>
      </c>
      <c r="G113" s="42" t="n"/>
      <c r="H113" s="41" t="inlineStr">
        <is>
          <t>188t</t>
        </is>
      </c>
      <c r="I113" s="41" t="inlineStr">
        <is>
          <t>Lnft</t>
        </is>
      </c>
    </row>
    <row r="114" ht="21.25" customFormat="1" customHeight="1" s="39">
      <c r="A114" s="40" t="inlineStr">
        <is>
          <t>18 Ga 8” Deep Track</t>
        </is>
      </c>
      <c r="B114" s="41" t="inlineStr">
        <is>
          <t>188dt</t>
        </is>
      </c>
      <c r="C114" s="42" t="n">
        <v>3.5544</v>
      </c>
      <c r="D114" s="42" t="n"/>
      <c r="E114" s="41" t="inlineStr">
        <is>
          <t>188dt</t>
        </is>
      </c>
      <c r="F114" s="41">
        <f>A114</f>
        <v/>
      </c>
      <c r="G114" s="42" t="n"/>
      <c r="H114" s="41" t="inlineStr">
        <is>
          <t>188dt</t>
        </is>
      </c>
      <c r="I114" s="41" t="inlineStr">
        <is>
          <t>Lnft</t>
        </is>
      </c>
    </row>
    <row r="115" ht="21.25" customFormat="1" customHeight="1" s="39">
      <c r="A115" s="40" t="inlineStr">
        <is>
          <t>18 Ga 8” Slotted Track</t>
        </is>
      </c>
      <c r="B115" s="41" t="inlineStr">
        <is>
          <t>188st</t>
        </is>
      </c>
      <c r="C115" s="44" t="n">
        <v>5.5423</v>
      </c>
      <c r="D115" s="42" t="n"/>
      <c r="E115" s="41" t="inlineStr">
        <is>
          <t>188st</t>
        </is>
      </c>
      <c r="F115" s="41">
        <f>A115</f>
        <v/>
      </c>
      <c r="G115" s="42" t="n"/>
      <c r="H115" s="41" t="inlineStr">
        <is>
          <t>188st</t>
        </is>
      </c>
      <c r="I115" s="41" t="inlineStr">
        <is>
          <t>Lnft</t>
        </is>
      </c>
    </row>
    <row r="116" ht="21.25" customFormat="1" customHeight="1" s="39">
      <c r="A116" s="40" t="n"/>
      <c r="B116" s="41" t="n"/>
      <c r="C116" s="44" t="n"/>
      <c r="D116" s="42" t="n"/>
      <c r="E116" s="41" t="n"/>
      <c r="F116" s="41">
        <f>A116</f>
        <v/>
      </c>
      <c r="G116" s="42" t="n"/>
      <c r="H116" s="41" t="n"/>
      <c r="I116" s="41" t="inlineStr">
        <is>
          <t>Lnft</t>
        </is>
      </c>
    </row>
    <row r="117" ht="21.25" customFormat="1" customHeight="1" s="39">
      <c r="A117" s="40" t="inlineStr">
        <is>
          <t>16 Ga 3 5/8” Stud</t>
        </is>
      </c>
      <c r="B117" s="41" t="inlineStr">
        <is>
          <t>163s</t>
        </is>
      </c>
      <c r="C117" s="44" t="n">
        <v>2.1317</v>
      </c>
      <c r="D117" s="42" t="n"/>
      <c r="E117" s="41" t="inlineStr">
        <is>
          <t>163s</t>
        </is>
      </c>
      <c r="F117" s="41">
        <f>A117</f>
        <v/>
      </c>
      <c r="G117" s="42" t="n"/>
      <c r="H117" s="41" t="inlineStr">
        <is>
          <t>163s</t>
        </is>
      </c>
      <c r="I117" s="41" t="inlineStr">
        <is>
          <t>Lnft</t>
        </is>
      </c>
    </row>
    <row r="118" ht="21.25" customFormat="1" customHeight="1" s="39">
      <c r="A118" s="40" t="inlineStr">
        <is>
          <t>16 Ga 3 5/8” Track</t>
        </is>
      </c>
      <c r="B118" s="41" t="inlineStr">
        <is>
          <t>163t</t>
        </is>
      </c>
      <c r="C118" s="44" t="n">
        <v>2.3468</v>
      </c>
      <c r="D118" s="42" t="n"/>
      <c r="E118" s="41" t="inlineStr">
        <is>
          <t>163t</t>
        </is>
      </c>
      <c r="F118" s="41">
        <f>A118</f>
        <v/>
      </c>
      <c r="G118" s="42" t="n"/>
      <c r="H118" s="41" t="inlineStr">
        <is>
          <t>163t</t>
        </is>
      </c>
      <c r="I118" s="41" t="inlineStr">
        <is>
          <t>Lnft</t>
        </is>
      </c>
    </row>
    <row r="119" ht="21.25" customFormat="1" customHeight="1" s="39">
      <c r="A119" s="40" t="inlineStr">
        <is>
          <t>16 Ga 3 5/8” Deep Track</t>
        </is>
      </c>
      <c r="B119" s="41" t="inlineStr">
        <is>
          <t>163dt</t>
        </is>
      </c>
      <c r="C119" s="44" t="n">
        <v>2.7282</v>
      </c>
      <c r="D119" s="42" t="n"/>
      <c r="E119" s="41" t="inlineStr">
        <is>
          <t>163dt</t>
        </is>
      </c>
      <c r="F119" s="41">
        <f>A119</f>
        <v/>
      </c>
      <c r="G119" s="42" t="n"/>
      <c r="H119" s="41" t="inlineStr">
        <is>
          <t>163dt</t>
        </is>
      </c>
      <c r="I119" s="41" t="inlineStr">
        <is>
          <t>Lnft</t>
        </is>
      </c>
    </row>
    <row r="120" ht="21.25" customFormat="1" customHeight="1" s="39">
      <c r="A120" s="40" t="inlineStr">
        <is>
          <t>16 Ga 3 5/8" Slotted Track</t>
        </is>
      </c>
      <c r="B120" s="41" t="inlineStr">
        <is>
          <t>163st</t>
        </is>
      </c>
      <c r="C120" s="44" t="n">
        <v>5.0697</v>
      </c>
      <c r="D120" s="42" t="n"/>
      <c r="E120" s="41" t="inlineStr">
        <is>
          <t>163st</t>
        </is>
      </c>
      <c r="F120" s="41">
        <f>A120</f>
        <v/>
      </c>
      <c r="G120" s="42" t="n"/>
      <c r="H120" s="41" t="inlineStr">
        <is>
          <t>163st</t>
        </is>
      </c>
      <c r="I120" s="41" t="inlineStr">
        <is>
          <t>Lnft</t>
        </is>
      </c>
    </row>
    <row r="121" ht="21.25" customFormat="1" customHeight="1" s="39">
      <c r="A121" s="41" t="inlineStr">
        <is>
          <t>16 Ga 6" Stud</t>
        </is>
      </c>
      <c r="B121" s="41" t="inlineStr">
        <is>
          <t>166s</t>
        </is>
      </c>
      <c r="C121" s="44" t="n">
        <v>2.9676</v>
      </c>
      <c r="D121" s="42" t="n"/>
      <c r="E121" s="41" t="inlineStr">
        <is>
          <t>166s</t>
        </is>
      </c>
      <c r="F121" s="41">
        <f>A121</f>
        <v/>
      </c>
      <c r="G121" s="42" t="n"/>
      <c r="H121" s="41" t="inlineStr">
        <is>
          <t>166s</t>
        </is>
      </c>
      <c r="I121" s="41" t="inlineStr">
        <is>
          <t>Lnft</t>
        </is>
      </c>
    </row>
    <row r="122" ht="21.25" customFormat="1" customHeight="1" s="39">
      <c r="A122" s="40" t="inlineStr">
        <is>
          <t>16 Ga 6” Track</t>
        </is>
      </c>
      <c r="B122" s="41" t="inlineStr">
        <is>
          <t>166t</t>
        </is>
      </c>
      <c r="C122" s="44" t="n">
        <v>3.1584</v>
      </c>
      <c r="D122" s="42" t="n"/>
      <c r="E122" s="41" t="inlineStr">
        <is>
          <t>166t</t>
        </is>
      </c>
      <c r="F122" s="41">
        <f>A122</f>
        <v/>
      </c>
      <c r="G122" s="42" t="n"/>
      <c r="H122" s="41" t="inlineStr">
        <is>
          <t>166t</t>
        </is>
      </c>
      <c r="I122" s="41" t="inlineStr">
        <is>
          <t>Lnft</t>
        </is>
      </c>
    </row>
    <row r="123" ht="21.25" customFormat="1" customHeight="1" s="39">
      <c r="A123" s="40" t="inlineStr">
        <is>
          <t>16 Ga 6” Deep Track</t>
        </is>
      </c>
      <c r="B123" s="41" t="inlineStr">
        <is>
          <t>166dt</t>
        </is>
      </c>
      <c r="C123" s="42" t="n">
        <v>3.5691</v>
      </c>
      <c r="D123" s="42" t="n"/>
      <c r="E123" s="41" t="inlineStr">
        <is>
          <t>166dt</t>
        </is>
      </c>
      <c r="F123" s="41">
        <f>A123</f>
        <v/>
      </c>
      <c r="G123" s="42" t="n"/>
      <c r="H123" s="41" t="inlineStr">
        <is>
          <t>166dt</t>
        </is>
      </c>
      <c r="I123" s="41" t="inlineStr">
        <is>
          <t>Lnft</t>
        </is>
      </c>
    </row>
    <row r="124" ht="21.25" customFormat="1" customHeight="1" s="39">
      <c r="A124" s="40" t="inlineStr">
        <is>
          <t>16 Ga 6” Slotted Track</t>
        </is>
      </c>
      <c r="B124" s="41" t="inlineStr">
        <is>
          <t>166st</t>
        </is>
      </c>
      <c r="C124" s="44" t="n">
        <v>5.6927</v>
      </c>
      <c r="D124" s="42" t="n"/>
      <c r="E124" s="41" t="inlineStr">
        <is>
          <t>166st</t>
        </is>
      </c>
      <c r="F124" s="41">
        <f>A124</f>
        <v/>
      </c>
      <c r="G124" s="42" t="n"/>
      <c r="H124" s="41" t="inlineStr">
        <is>
          <t>166st</t>
        </is>
      </c>
      <c r="I124" s="41" t="inlineStr">
        <is>
          <t>Lnft</t>
        </is>
      </c>
    </row>
    <row r="125" ht="21.25" customFormat="1" customHeight="1" s="39">
      <c r="A125" s="40" t="inlineStr">
        <is>
          <t>16 Ga 8" Stud</t>
        </is>
      </c>
      <c r="B125" s="41" t="inlineStr">
        <is>
          <t>168s</t>
        </is>
      </c>
      <c r="C125" s="44" t="n">
        <v>3.6376</v>
      </c>
      <c r="D125" s="42" t="n"/>
      <c r="E125" s="41" t="inlineStr">
        <is>
          <t>168s</t>
        </is>
      </c>
      <c r="F125" s="41">
        <f>A125</f>
        <v/>
      </c>
      <c r="G125" s="42" t="n"/>
      <c r="H125" s="41" t="inlineStr">
        <is>
          <t>168s</t>
        </is>
      </c>
      <c r="I125" s="41" t="inlineStr">
        <is>
          <t>Lnft</t>
        </is>
      </c>
    </row>
    <row r="126" ht="21.25" customFormat="1" customHeight="1" s="39">
      <c r="A126" s="45" t="inlineStr">
        <is>
          <t>16 Ga 8” Track</t>
        </is>
      </c>
      <c r="B126" s="41" t="inlineStr">
        <is>
          <t>168t</t>
        </is>
      </c>
      <c r="C126" s="44" t="n">
        <v>3.8916</v>
      </c>
      <c r="D126" s="42" t="n"/>
      <c r="E126" s="41" t="inlineStr">
        <is>
          <t>168t</t>
        </is>
      </c>
      <c r="F126" s="41">
        <f>A126</f>
        <v/>
      </c>
      <c r="G126" s="42" t="n"/>
      <c r="H126" s="41" t="inlineStr">
        <is>
          <t>168t</t>
        </is>
      </c>
      <c r="I126" s="41" t="inlineStr">
        <is>
          <t>Lnft</t>
        </is>
      </c>
    </row>
    <row r="127" ht="21.25" customFormat="1" customHeight="1" s="39">
      <c r="A127" s="45" t="inlineStr">
        <is>
          <t>16 Ga 8” Deep Track</t>
        </is>
      </c>
      <c r="B127" s="41" t="inlineStr">
        <is>
          <t>168dt</t>
        </is>
      </c>
      <c r="C127" s="44" t="n">
        <v>4.2982</v>
      </c>
      <c r="D127" s="42" t="n"/>
      <c r="E127" s="41" t="inlineStr">
        <is>
          <t>168dt</t>
        </is>
      </c>
      <c r="F127" s="41">
        <f>A127</f>
        <v/>
      </c>
      <c r="G127" s="42" t="n"/>
      <c r="H127" s="41" t="inlineStr">
        <is>
          <t>168dt</t>
        </is>
      </c>
      <c r="I127" s="41" t="inlineStr">
        <is>
          <t>Lnft</t>
        </is>
      </c>
    </row>
    <row r="128" ht="21.25" customFormat="1" customHeight="1" s="39">
      <c r="A128" s="40" t="inlineStr">
        <is>
          <t>16 Ga 8” Slotted Track</t>
        </is>
      </c>
      <c r="B128" s="41" t="inlineStr">
        <is>
          <t>168st</t>
        </is>
      </c>
      <c r="C128" s="44" t="n">
        <v>7.9053</v>
      </c>
      <c r="D128" s="42" t="n"/>
      <c r="E128" s="41" t="inlineStr">
        <is>
          <t>168st</t>
        </is>
      </c>
      <c r="F128" s="41">
        <f>A128</f>
        <v/>
      </c>
      <c r="G128" s="42" t="n"/>
      <c r="H128" s="41" t="inlineStr">
        <is>
          <t>168st</t>
        </is>
      </c>
      <c r="I128" s="41" t="inlineStr">
        <is>
          <t>Lnft</t>
        </is>
      </c>
    </row>
    <row r="129" ht="21.25" customFormat="1" customHeight="1" s="39">
      <c r="A129" s="40" t="n"/>
      <c r="B129" s="41" t="n"/>
      <c r="C129" s="44" t="n"/>
      <c r="D129" s="42" t="n"/>
      <c r="E129" s="41" t="n"/>
      <c r="F129" s="41">
        <f>A129</f>
        <v/>
      </c>
      <c r="G129" s="42" t="n"/>
      <c r="H129" s="41" t="n"/>
      <c r="I129" s="41" t="inlineStr">
        <is>
          <t>Lnft</t>
        </is>
      </c>
    </row>
    <row r="130" ht="21.25" customFormat="1" customHeight="1" s="39">
      <c r="A130" s="40" t="inlineStr">
        <is>
          <t>14 Ga 3 5/8” Std</t>
        </is>
      </c>
      <c r="B130" s="41" t="inlineStr">
        <is>
          <t>143s</t>
        </is>
      </c>
      <c r="C130" s="44" t="n">
        <v>2.7233</v>
      </c>
      <c r="D130" s="42" t="n"/>
      <c r="E130" s="41" t="inlineStr">
        <is>
          <t>143s</t>
        </is>
      </c>
      <c r="F130" s="41">
        <f>A130</f>
        <v/>
      </c>
      <c r="G130" s="42" t="n"/>
      <c r="H130" s="41" t="inlineStr">
        <is>
          <t>143s</t>
        </is>
      </c>
      <c r="I130" s="41" t="inlineStr">
        <is>
          <t>Lnft</t>
        </is>
      </c>
    </row>
    <row r="131" ht="21.25" customFormat="1" customHeight="1" s="39">
      <c r="A131" s="40" t="inlineStr">
        <is>
          <t>14 Ga 3 5/8” Track</t>
        </is>
      </c>
      <c r="B131" s="41" t="inlineStr">
        <is>
          <t>143t</t>
        </is>
      </c>
      <c r="C131" s="44" t="n">
        <v>2.3468</v>
      </c>
      <c r="D131" s="42" t="n"/>
      <c r="E131" s="41" t="inlineStr">
        <is>
          <t>143t</t>
        </is>
      </c>
      <c r="F131" s="41">
        <f>A131</f>
        <v/>
      </c>
      <c r="G131" s="42" t="n"/>
      <c r="H131" s="41" t="inlineStr">
        <is>
          <t>143t</t>
        </is>
      </c>
      <c r="I131" s="41" t="inlineStr">
        <is>
          <t>Lnft</t>
        </is>
      </c>
    </row>
    <row r="132" ht="21.25" customFormat="1" customHeight="1" s="39">
      <c r="A132" s="40" t="inlineStr">
        <is>
          <t>14 Ga 3 5/8” Deep Track</t>
        </is>
      </c>
      <c r="B132" s="41" t="inlineStr">
        <is>
          <t>143dt</t>
        </is>
      </c>
      <c r="C132" s="44" t="n">
        <v>2.7282</v>
      </c>
      <c r="D132" s="42" t="n"/>
      <c r="E132" s="41" t="inlineStr">
        <is>
          <t>143dt</t>
        </is>
      </c>
      <c r="F132" s="41">
        <f>A132</f>
        <v/>
      </c>
      <c r="G132" s="42" t="n"/>
      <c r="H132" s="41" t="inlineStr">
        <is>
          <t>143dt</t>
        </is>
      </c>
      <c r="I132" s="41" t="inlineStr">
        <is>
          <t>Lnft</t>
        </is>
      </c>
    </row>
    <row r="133" ht="21.25" customFormat="1" customHeight="1" s="39">
      <c r="A133" s="40" t="inlineStr">
        <is>
          <t>14 Ga 3 5/8" Slotted Track</t>
        </is>
      </c>
      <c r="B133" s="41" t="inlineStr">
        <is>
          <t>143st</t>
        </is>
      </c>
      <c r="C133" s="44" t="inlineStr">
        <is>
          <t>?</t>
        </is>
      </c>
      <c r="D133" s="42" t="n"/>
      <c r="E133" s="41" t="inlineStr">
        <is>
          <t>143st</t>
        </is>
      </c>
      <c r="F133" s="41">
        <f>A133</f>
        <v/>
      </c>
      <c r="G133" s="42" t="n"/>
      <c r="H133" s="41" t="inlineStr">
        <is>
          <t>143st</t>
        </is>
      </c>
      <c r="I133" s="41" t="inlineStr">
        <is>
          <t>Lnft</t>
        </is>
      </c>
    </row>
    <row r="134" ht="21.25" customFormat="1" customHeight="1" s="39">
      <c r="A134" s="40" t="inlineStr">
        <is>
          <t>14 Ga 6" Stud</t>
        </is>
      </c>
      <c r="B134" s="41" t="inlineStr">
        <is>
          <t>146s</t>
        </is>
      </c>
      <c r="C134" s="44" t="n">
        <v>3.5691</v>
      </c>
      <c r="D134" s="42" t="n"/>
      <c r="E134" s="41" t="inlineStr">
        <is>
          <t>146s</t>
        </is>
      </c>
      <c r="F134" s="41">
        <f>A134</f>
        <v/>
      </c>
      <c r="G134" s="42" t="n"/>
      <c r="H134" s="41" t="inlineStr">
        <is>
          <t>146s</t>
        </is>
      </c>
      <c r="I134" s="41" t="inlineStr">
        <is>
          <t>Lnft</t>
        </is>
      </c>
    </row>
    <row r="135" ht="21.25" customFormat="1" customHeight="1" s="39">
      <c r="A135" s="40" t="inlineStr">
        <is>
          <t>14 Ga 6” Track</t>
        </is>
      </c>
      <c r="B135" s="41" t="inlineStr">
        <is>
          <t>146t</t>
        </is>
      </c>
      <c r="C135" s="44" t="n">
        <v>3.1584</v>
      </c>
      <c r="D135" s="42" t="n"/>
      <c r="E135" s="41" t="inlineStr">
        <is>
          <t>146t</t>
        </is>
      </c>
      <c r="F135" s="41">
        <f>A135</f>
        <v/>
      </c>
      <c r="G135" s="42" t="n"/>
      <c r="H135" s="41" t="inlineStr">
        <is>
          <t>146t</t>
        </is>
      </c>
      <c r="I135" s="41" t="inlineStr">
        <is>
          <t>Lnft</t>
        </is>
      </c>
    </row>
    <row r="136" ht="21.25" customFormat="1" customHeight="1" s="39">
      <c r="A136" s="40" t="inlineStr">
        <is>
          <t>14 Ga 6” Deep Track</t>
        </is>
      </c>
      <c r="B136" s="41" t="inlineStr">
        <is>
          <t>146dt</t>
        </is>
      </c>
      <c r="C136" s="44" t="n">
        <v>3.5691</v>
      </c>
      <c r="D136" s="42" t="n"/>
      <c r="E136" s="41" t="inlineStr">
        <is>
          <t>146dt</t>
        </is>
      </c>
      <c r="F136" s="41">
        <f>A136</f>
        <v/>
      </c>
      <c r="G136" s="42" t="n"/>
      <c r="H136" s="41" t="inlineStr">
        <is>
          <t>146dt</t>
        </is>
      </c>
      <c r="I136" s="41" t="inlineStr">
        <is>
          <t>Lnft</t>
        </is>
      </c>
    </row>
    <row r="137" ht="21.25" customFormat="1" customHeight="1" s="39">
      <c r="A137" s="40" t="inlineStr">
        <is>
          <t>14 Ga 6” Slotted Track</t>
        </is>
      </c>
      <c r="B137" s="41" t="inlineStr">
        <is>
          <t>146st</t>
        </is>
      </c>
      <c r="C137" s="44" t="inlineStr">
        <is>
          <t>?</t>
        </is>
      </c>
      <c r="D137" s="42" t="n"/>
      <c r="E137" s="41" t="inlineStr">
        <is>
          <t>146st</t>
        </is>
      </c>
      <c r="F137" s="41">
        <f>A137</f>
        <v/>
      </c>
      <c r="G137" s="42" t="n"/>
      <c r="H137" s="41" t="inlineStr">
        <is>
          <t>146st</t>
        </is>
      </c>
      <c r="I137" s="41" t="inlineStr">
        <is>
          <t>Lnft</t>
        </is>
      </c>
    </row>
    <row r="138" ht="21.25" customFormat="1" customHeight="1" s="39">
      <c r="A138" s="40" t="inlineStr">
        <is>
          <t>14 Ga 8" Stud</t>
        </is>
      </c>
      <c r="B138" s="41" t="inlineStr">
        <is>
          <t>148s</t>
        </is>
      </c>
      <c r="C138" s="44" t="n">
        <v>4.304</v>
      </c>
      <c r="D138" s="42" t="n"/>
      <c r="E138" s="41" t="inlineStr">
        <is>
          <t>148s</t>
        </is>
      </c>
      <c r="F138" s="41">
        <f>A138</f>
        <v/>
      </c>
      <c r="G138" s="42" t="n"/>
      <c r="H138" s="41" t="inlineStr">
        <is>
          <t>148s</t>
        </is>
      </c>
      <c r="I138" s="41" t="inlineStr">
        <is>
          <t>Lnft</t>
        </is>
      </c>
    </row>
    <row r="139" ht="21.25" customFormat="1" customHeight="1" s="39">
      <c r="A139" s="40" t="inlineStr">
        <is>
          <t>14 Ga 8” Track</t>
        </is>
      </c>
      <c r="B139" s="41" t="inlineStr">
        <is>
          <t>148t</t>
        </is>
      </c>
      <c r="C139" s="44" t="n">
        <v>3.8916</v>
      </c>
      <c r="D139" s="42" t="n"/>
      <c r="E139" s="41" t="inlineStr">
        <is>
          <t>148t</t>
        </is>
      </c>
      <c r="F139" s="41">
        <f>A139</f>
        <v/>
      </c>
      <c r="G139" s="42" t="n"/>
      <c r="H139" s="41" t="inlineStr">
        <is>
          <t>148t</t>
        </is>
      </c>
      <c r="I139" s="41" t="inlineStr">
        <is>
          <t>Lnft</t>
        </is>
      </c>
    </row>
    <row r="140" ht="21.25" customFormat="1" customHeight="1" s="39">
      <c r="A140" s="40" t="inlineStr">
        <is>
          <t>14 Ga 8” Deep Track</t>
        </is>
      </c>
      <c r="B140" s="41" t="inlineStr">
        <is>
          <t>148dt</t>
        </is>
      </c>
      <c r="C140" s="42" t="n">
        <v>4.2982</v>
      </c>
      <c r="D140" s="42" t="n"/>
      <c r="E140" s="41" t="inlineStr">
        <is>
          <t>148dt</t>
        </is>
      </c>
      <c r="F140" s="41">
        <f>A140</f>
        <v/>
      </c>
      <c r="G140" s="42" t="n"/>
      <c r="H140" s="41" t="inlineStr">
        <is>
          <t>148dt</t>
        </is>
      </c>
      <c r="I140" s="41" t="inlineStr">
        <is>
          <t>Lnft</t>
        </is>
      </c>
    </row>
    <row r="141" ht="21.25" customFormat="1" customHeight="1" s="39">
      <c r="A141" s="40" t="inlineStr">
        <is>
          <t>14 Ga 8” Slotted Track</t>
        </is>
      </c>
      <c r="B141" s="41" t="inlineStr">
        <is>
          <t>148st</t>
        </is>
      </c>
      <c r="C141" s="44" t="inlineStr">
        <is>
          <t>?</t>
        </is>
      </c>
      <c r="D141" s="42" t="n"/>
      <c r="E141" s="41" t="inlineStr">
        <is>
          <t>148st</t>
        </is>
      </c>
      <c r="F141" s="41">
        <f>A141</f>
        <v/>
      </c>
      <c r="G141" s="42" t="n"/>
      <c r="H141" s="41" t="inlineStr">
        <is>
          <t>148st</t>
        </is>
      </c>
      <c r="I141" s="41" t="inlineStr">
        <is>
          <t>Lnft</t>
        </is>
      </c>
    </row>
    <row r="142" ht="21.25" customFormat="1" customHeight="1" s="39">
      <c r="A142" s="40" t="n"/>
      <c r="B142" s="41" t="n"/>
      <c r="C142" s="44" t="n"/>
      <c r="D142" s="42" t="n"/>
      <c r="E142" s="41" t="n"/>
      <c r="F142" s="41">
        <f>A142</f>
        <v/>
      </c>
      <c r="G142" s="42" t="n"/>
      <c r="H142" s="41" t="n"/>
      <c r="I142" s="41" t="n"/>
    </row>
    <row r="143" ht="21.25" customFormat="1" customHeight="1" s="39">
      <c r="A143" s="40" t="n"/>
      <c r="B143" s="41" t="n"/>
      <c r="C143" s="44" t="n"/>
      <c r="D143" s="42" t="n"/>
      <c r="E143" s="41" t="n">
        <v>0</v>
      </c>
      <c r="F143" s="41">
        <f>A143</f>
        <v/>
      </c>
      <c r="G143" s="42" t="n"/>
      <c r="H143" s="41" t="n">
        <v>0</v>
      </c>
      <c r="I143" s="41" t="inlineStr">
        <is>
          <t>Lnft</t>
        </is>
      </c>
    </row>
    <row r="144" ht="21.25" customFormat="1" customHeight="1" s="39">
      <c r="A144" s="41" t="inlineStr">
        <is>
          <t>16 Ga 	3/4” Carring Channel</t>
        </is>
      </c>
      <c r="B144" s="41" t="inlineStr">
        <is>
          <t>34cc</t>
        </is>
      </c>
      <c r="C144" s="44" t="n">
        <v>0.5372</v>
      </c>
      <c r="D144" s="42" t="n"/>
      <c r="E144" s="41" t="inlineStr">
        <is>
          <t>34cc</t>
        </is>
      </c>
      <c r="F144" s="41">
        <f>A144</f>
        <v/>
      </c>
      <c r="G144" s="42" t="n"/>
      <c r="H144" s="41" t="inlineStr">
        <is>
          <t>34cc</t>
        </is>
      </c>
      <c r="I144" s="41" t="inlineStr">
        <is>
          <t>Lnft</t>
        </is>
      </c>
    </row>
    <row r="145" ht="21.25" customFormat="1" customHeight="1" s="39">
      <c r="A145" s="41" t="inlineStr">
        <is>
          <t>18 Ga 	1 1/2” Carring Channel</t>
        </is>
      </c>
      <c r="B145" s="41" t="inlineStr">
        <is>
          <t>18cc</t>
        </is>
      </c>
      <c r="C145" s="44" t="n">
        <v>0.664</v>
      </c>
      <c r="D145" s="42" t="n"/>
      <c r="E145" s="41" t="inlineStr">
        <is>
          <t>18cc</t>
        </is>
      </c>
      <c r="F145" s="41">
        <f>A145</f>
        <v/>
      </c>
      <c r="G145" s="42" t="n"/>
      <c r="H145" s="41" t="inlineStr">
        <is>
          <t>18cc</t>
        </is>
      </c>
      <c r="I145" s="41" t="inlineStr">
        <is>
          <t>Lnft</t>
        </is>
      </c>
    </row>
    <row r="146" ht="21.25" customFormat="1" customHeight="1" s="39">
      <c r="A146" s="41" t="inlineStr">
        <is>
          <t>16 Ga	1 1/2” Carring Channel</t>
        </is>
      </c>
      <c r="B146" s="41" t="inlineStr">
        <is>
          <t>16cc</t>
        </is>
      </c>
      <c r="C146" s="44" t="n">
        <v>0.8196</v>
      </c>
      <c r="D146" s="42" t="n"/>
      <c r="E146" s="41" t="inlineStr">
        <is>
          <t>16cc</t>
        </is>
      </c>
      <c r="F146" s="41">
        <f>A146</f>
        <v/>
      </c>
      <c r="G146" s="42" t="n"/>
      <c r="H146" s="41" t="inlineStr">
        <is>
          <t>16cc</t>
        </is>
      </c>
      <c r="I146" s="41" t="inlineStr">
        <is>
          <t>Lnft</t>
        </is>
      </c>
    </row>
    <row r="147" ht="21.25" customFormat="1" customHeight="1" s="39">
      <c r="A147" s="41" t="n"/>
      <c r="B147" s="41" t="n"/>
      <c r="C147" s="44" t="n"/>
      <c r="D147" s="42" t="n"/>
      <c r="E147" s="41" t="n"/>
      <c r="F147" s="41">
        <f>A147</f>
        <v/>
      </c>
      <c r="G147" s="42" t="n"/>
      <c r="H147" s="41" t="n"/>
      <c r="I147" s="41" t="inlineStr">
        <is>
          <t>Lnft</t>
        </is>
      </c>
    </row>
    <row r="148" ht="21.25" customFormat="1" customHeight="1" s="39">
      <c r="A148" s="41" t="inlineStr">
        <is>
          <t>25 Ga 	Resilient Channel</t>
        </is>
      </c>
      <c r="B148" s="41" t="inlineStr">
        <is>
          <t>RC</t>
        </is>
      </c>
      <c r="C148" s="44" t="n">
        <v>0.3225</v>
      </c>
      <c r="D148" s="42" t="n"/>
      <c r="E148" s="41" t="inlineStr">
        <is>
          <t>RC</t>
        </is>
      </c>
      <c r="F148" s="41">
        <f>A148</f>
        <v/>
      </c>
      <c r="G148" s="42" t="n"/>
      <c r="H148" s="41" t="inlineStr">
        <is>
          <t>RC</t>
        </is>
      </c>
      <c r="I148" s="41" t="inlineStr">
        <is>
          <t>Lnft</t>
        </is>
      </c>
    </row>
    <row r="149" ht="21.25" customFormat="1" customHeight="1" s="39">
      <c r="A149" s="41" t="inlineStr">
        <is>
          <t>25 Ga 	7/8” Hat Track</t>
        </is>
      </c>
      <c r="B149" s="41" t="inlineStr">
        <is>
          <t>25ht</t>
        </is>
      </c>
      <c r="C149" s="44" t="n">
        <v>0.432</v>
      </c>
      <c r="D149" s="42" t="n"/>
      <c r="E149" s="41" t="inlineStr">
        <is>
          <t>25ht</t>
        </is>
      </c>
      <c r="F149" s="41">
        <f>A149</f>
        <v/>
      </c>
      <c r="G149" s="42" t="n"/>
      <c r="H149" s="41" t="inlineStr">
        <is>
          <t>25ht</t>
        </is>
      </c>
      <c r="I149" s="41" t="inlineStr">
        <is>
          <t>Lnft</t>
        </is>
      </c>
    </row>
    <row r="150" ht="21.25" customFormat="1" customHeight="1" s="39">
      <c r="A150" s="41" t="inlineStr">
        <is>
          <t>20 Ga 	7/8” Hat Track</t>
        </is>
      </c>
      <c r="B150" s="41" t="inlineStr">
        <is>
          <t>20ht</t>
        </is>
      </c>
      <c r="C150" s="44" t="n">
        <v>0.8307</v>
      </c>
      <c r="D150" s="42" t="n"/>
      <c r="E150" s="41" t="inlineStr">
        <is>
          <t>20ht</t>
        </is>
      </c>
      <c r="F150" s="41">
        <f>A150</f>
        <v/>
      </c>
      <c r="G150" s="42" t="n"/>
      <c r="H150" s="41" t="inlineStr">
        <is>
          <t>20ht</t>
        </is>
      </c>
      <c r="I150" s="41" t="inlineStr">
        <is>
          <t>Lnft</t>
        </is>
      </c>
    </row>
    <row r="151" ht="21.25" customFormat="1" customHeight="1" s="39">
      <c r="A151" s="41" t="inlineStr">
        <is>
          <t>18 Ga 	7/8” Hat Track</t>
        </is>
      </c>
      <c r="B151" s="41" t="inlineStr">
        <is>
          <t>18ht</t>
        </is>
      </c>
      <c r="C151" s="44" t="n">
        <v>1.295</v>
      </c>
      <c r="D151" s="42" t="n"/>
      <c r="E151" s="41" t="inlineStr">
        <is>
          <t>18ht</t>
        </is>
      </c>
      <c r="F151" s="41">
        <f>A151</f>
        <v/>
      </c>
      <c r="G151" s="42" t="n"/>
      <c r="H151" s="41" t="inlineStr">
        <is>
          <t>18ht</t>
        </is>
      </c>
      <c r="I151" s="41" t="inlineStr">
        <is>
          <t>Lnft</t>
        </is>
      </c>
    </row>
    <row r="152" ht="21.25" customFormat="1" customHeight="1" s="39">
      <c r="A152" s="41" t="inlineStr">
        <is>
          <t>25 Ga 	1 1/2” Angle</t>
        </is>
      </c>
      <c r="B152" s="41" t="inlineStr">
        <is>
          <t>251a</t>
        </is>
      </c>
      <c r="C152" s="44" t="n">
        <v>0.3655</v>
      </c>
      <c r="D152" s="42" t="n"/>
      <c r="E152" s="41" t="inlineStr">
        <is>
          <t>251a</t>
        </is>
      </c>
      <c r="F152" s="41">
        <f>A152</f>
        <v/>
      </c>
      <c r="G152" s="42" t="n"/>
      <c r="H152" s="41" t="inlineStr">
        <is>
          <t>251a</t>
        </is>
      </c>
      <c r="I152" s="41" t="inlineStr">
        <is>
          <t>Lnft</t>
        </is>
      </c>
    </row>
    <row r="153" ht="21.25" customFormat="1" customHeight="1" s="39">
      <c r="A153" s="41" t="inlineStr">
        <is>
          <t>25 Ga 	2” Angle</t>
        </is>
      </c>
      <c r="B153" s="41" t="inlineStr">
        <is>
          <t>252a</t>
        </is>
      </c>
      <c r="C153" s="44" t="n">
        <v>0.4934</v>
      </c>
      <c r="D153" s="42" t="n"/>
      <c r="E153" s="41" t="inlineStr">
        <is>
          <t>252a</t>
        </is>
      </c>
      <c r="F153" s="41">
        <f>A153</f>
        <v/>
      </c>
      <c r="G153" s="42" t="n"/>
      <c r="H153" s="41" t="inlineStr">
        <is>
          <t>252a</t>
        </is>
      </c>
      <c r="I153" s="41" t="inlineStr">
        <is>
          <t>Lnft</t>
        </is>
      </c>
    </row>
    <row r="154" ht="21.25" customFormat="1" customHeight="1" s="39">
      <c r="A154" s="41" t="inlineStr">
        <is>
          <t>20 Ga 	1 1/2” Angle</t>
        </is>
      </c>
      <c r="B154" s="41" t="inlineStr">
        <is>
          <t>201a</t>
        </is>
      </c>
      <c r="C154" s="44" t="n">
        <v>0.6867</v>
      </c>
      <c r="D154" s="42" t="n"/>
      <c r="E154" s="41" t="inlineStr">
        <is>
          <t>201a</t>
        </is>
      </c>
      <c r="F154" s="41">
        <f>A154</f>
        <v/>
      </c>
      <c r="G154" s="42" t="n"/>
      <c r="H154" s="41" t="inlineStr">
        <is>
          <t>201a</t>
        </is>
      </c>
      <c r="I154" s="41" t="inlineStr">
        <is>
          <t>Lnft</t>
        </is>
      </c>
    </row>
    <row r="155" ht="21.25" customFormat="1" customHeight="1" s="39">
      <c r="A155" s="41" t="inlineStr">
        <is>
          <t>20 Ga 	2” Angle</t>
        </is>
      </c>
      <c r="B155" s="41" t="inlineStr">
        <is>
          <t>202a</t>
        </is>
      </c>
      <c r="C155" s="44" t="n">
        <v>0.8804999999999999</v>
      </c>
      <c r="D155" s="42" t="n"/>
      <c r="E155" s="41" t="inlineStr">
        <is>
          <t>202a</t>
        </is>
      </c>
      <c r="F155" s="41">
        <f>A155</f>
        <v/>
      </c>
      <c r="G155" s="42" t="n"/>
      <c r="H155" s="41" t="inlineStr">
        <is>
          <t>202a</t>
        </is>
      </c>
      <c r="I155" s="41" t="inlineStr">
        <is>
          <t>Lnft</t>
        </is>
      </c>
    </row>
    <row r="156" ht="21.25" customFormat="1" customHeight="1" s="39">
      <c r="A156" s="41" t="inlineStr">
        <is>
          <t>20 Ga 	3” Angle</t>
        </is>
      </c>
      <c r="B156" s="41" t="inlineStr">
        <is>
          <t>203a</t>
        </is>
      </c>
      <c r="C156" s="44" t="n">
        <v>1.1647</v>
      </c>
      <c r="D156" s="42" t="n"/>
      <c r="E156" s="41" t="inlineStr">
        <is>
          <t>203a</t>
        </is>
      </c>
      <c r="F156" s="41">
        <f>A156</f>
        <v/>
      </c>
      <c r="G156" s="42" t="n"/>
      <c r="H156" s="41" t="inlineStr">
        <is>
          <t>203a</t>
        </is>
      </c>
      <c r="I156" s="41" t="inlineStr">
        <is>
          <t>Lnft</t>
        </is>
      </c>
    </row>
    <row r="157" ht="21.25" customFormat="1" customHeight="1" s="39">
      <c r="A157" s="41" t="inlineStr">
        <is>
          <t>18 Ga 	1 1/2” Angle</t>
        </is>
      </c>
      <c r="B157" s="41" t="inlineStr">
        <is>
          <t>181a</t>
        </is>
      </c>
      <c r="C157" s="44" t="n">
        <v>1.304</v>
      </c>
      <c r="D157" s="42" t="n"/>
      <c r="E157" s="41" t="inlineStr">
        <is>
          <t>181a</t>
        </is>
      </c>
      <c r="F157" s="41">
        <f>A157</f>
        <v/>
      </c>
      <c r="G157" s="42" t="n"/>
      <c r="H157" s="41" t="inlineStr">
        <is>
          <t>181a</t>
        </is>
      </c>
      <c r="I157" s="41" t="inlineStr">
        <is>
          <t>Lnft</t>
        </is>
      </c>
    </row>
    <row r="158" ht="21.25" customFormat="1" customHeight="1" s="39">
      <c r="A158" s="41" t="inlineStr">
        <is>
          <t>18 Ga 	2” Angle</t>
        </is>
      </c>
      <c r="B158" s="41" t="inlineStr">
        <is>
          <t>182a</t>
        </is>
      </c>
      <c r="C158" s="44" t="n">
        <v>1.469</v>
      </c>
      <c r="D158" s="42" t="n"/>
      <c r="E158" s="41" t="inlineStr">
        <is>
          <t>182a</t>
        </is>
      </c>
      <c r="F158" s="41">
        <f>A158</f>
        <v/>
      </c>
      <c r="G158" s="42" t="n"/>
      <c r="H158" s="41" t="inlineStr">
        <is>
          <t>182a</t>
        </is>
      </c>
      <c r="I158" s="41" t="inlineStr">
        <is>
          <t>Lnft</t>
        </is>
      </c>
    </row>
    <row r="159" ht="21.25" customFormat="1" customHeight="1" s="39">
      <c r="A159" s="41" t="inlineStr">
        <is>
          <t>18 Ga 	3” Angle</t>
        </is>
      </c>
      <c r="B159" s="41" t="inlineStr">
        <is>
          <t>183a</t>
        </is>
      </c>
      <c r="C159" s="44" t="n">
        <v>3.1</v>
      </c>
      <c r="D159" s="42" t="n"/>
      <c r="E159" s="41" t="inlineStr">
        <is>
          <t>183a</t>
        </is>
      </c>
      <c r="F159" s="41">
        <f>A159</f>
        <v/>
      </c>
      <c r="G159" s="42" t="n"/>
      <c r="H159" s="41" t="inlineStr">
        <is>
          <t>183a</t>
        </is>
      </c>
      <c r="I159" s="41" t="inlineStr">
        <is>
          <t>Lnft</t>
        </is>
      </c>
    </row>
    <row r="160" ht="21.25" customFormat="1" customHeight="1" s="39">
      <c r="A160" s="41" t="inlineStr">
        <is>
          <t>25 Ga 	1” x 1” 1/2” Z-Bar</t>
        </is>
      </c>
      <c r="B160" s="41" t="inlineStr">
        <is>
          <t>251x1z</t>
        </is>
      </c>
      <c r="C160" s="44" t="n">
        <v>0.9442</v>
      </c>
      <c r="D160" s="42" t="n"/>
      <c r="E160" s="41" t="inlineStr">
        <is>
          <t>251x1z</t>
        </is>
      </c>
      <c r="F160" s="41">
        <f>A160</f>
        <v/>
      </c>
      <c r="G160" s="42" t="n"/>
      <c r="H160" s="41" t="inlineStr">
        <is>
          <t>251x1z</t>
        </is>
      </c>
      <c r="I160" s="41" t="inlineStr">
        <is>
          <t>Lnft</t>
        </is>
      </c>
    </row>
    <row r="161" ht="21.25" customFormat="1" customHeight="1" s="39">
      <c r="A161" s="41" t="inlineStr">
        <is>
          <t>25 Ga 	1” x 2” Z-BAr</t>
        </is>
      </c>
      <c r="B161" s="41" t="inlineStr">
        <is>
          <t>251x2z</t>
        </is>
      </c>
      <c r="C161" s="44" t="n">
        <v>1.0356</v>
      </c>
      <c r="D161" s="42" t="n"/>
      <c r="E161" s="41" t="inlineStr">
        <is>
          <t>251x2z</t>
        </is>
      </c>
      <c r="F161" s="41">
        <f>A161</f>
        <v/>
      </c>
      <c r="G161" s="42" t="n"/>
      <c r="H161" s="41" t="inlineStr">
        <is>
          <t>251x2z</t>
        </is>
      </c>
      <c r="I161" s="41" t="inlineStr">
        <is>
          <t>Lnft</t>
        </is>
      </c>
    </row>
    <row r="162" ht="21.25" customFormat="1" customHeight="1" s="39">
      <c r="A162" s="41" t="inlineStr">
        <is>
          <t>20 Ga 	1” x 1” 1/2” Z-Bar</t>
        </is>
      </c>
      <c r="B162" s="41" t="inlineStr">
        <is>
          <t>201x1z</t>
        </is>
      </c>
      <c r="C162" s="44" t="inlineStr">
        <is>
          <t>?</t>
        </is>
      </c>
      <c r="D162" s="42" t="n"/>
      <c r="E162" s="41" t="inlineStr">
        <is>
          <t>201x1z</t>
        </is>
      </c>
      <c r="F162" s="41">
        <f>A162</f>
        <v/>
      </c>
      <c r="G162" s="42" t="n"/>
      <c r="H162" s="41" t="inlineStr">
        <is>
          <t>201x1z</t>
        </is>
      </c>
      <c r="I162" s="41" t="inlineStr">
        <is>
          <t>Lnft</t>
        </is>
      </c>
    </row>
    <row r="163" ht="21.25" customFormat="1" customHeight="1" s="39">
      <c r="A163" s="41" t="inlineStr">
        <is>
          <t>20 Ga 	1” x 2” Z-BAr</t>
        </is>
      </c>
      <c r="B163" s="41" t="inlineStr">
        <is>
          <t>201x2z</t>
        </is>
      </c>
      <c r="C163" s="44" t="inlineStr">
        <is>
          <t>?</t>
        </is>
      </c>
      <c r="D163" s="42" t="n"/>
      <c r="E163" s="41" t="inlineStr">
        <is>
          <t>201x2z</t>
        </is>
      </c>
      <c r="F163" s="41">
        <f>A163</f>
        <v/>
      </c>
      <c r="G163" s="42" t="n"/>
      <c r="H163" s="41" t="inlineStr">
        <is>
          <t>201x2z</t>
        </is>
      </c>
      <c r="I163" s="41" t="inlineStr">
        <is>
          <t>Lnft</t>
        </is>
      </c>
    </row>
    <row r="164" ht="21.25" customFormat="1" customHeight="1" s="39">
      <c r="A164" s="41" t="inlineStr">
        <is>
          <t>20 Ga 	2” Flatstock</t>
        </is>
      </c>
      <c r="B164" s="41" t="inlineStr">
        <is>
          <t>202fs</t>
        </is>
      </c>
      <c r="C164" s="42" t="n">
        <v>0.6092</v>
      </c>
      <c r="D164" s="42" t="n"/>
      <c r="E164" s="41" t="inlineStr">
        <is>
          <t>202fs</t>
        </is>
      </c>
      <c r="F164" s="41">
        <f>A164</f>
        <v/>
      </c>
      <c r="G164" s="42" t="n"/>
      <c r="H164" s="41" t="inlineStr">
        <is>
          <t>202fs</t>
        </is>
      </c>
      <c r="I164" s="41" t="inlineStr">
        <is>
          <t>Lnft</t>
        </is>
      </c>
    </row>
    <row r="165" ht="21.25" customFormat="1" customHeight="1" s="39">
      <c r="A165" s="41" t="inlineStr">
        <is>
          <t>20 Ga 	4” Flatstock</t>
        </is>
      </c>
      <c r="B165" s="41" t="inlineStr">
        <is>
          <t>204fs</t>
        </is>
      </c>
      <c r="C165" s="44" t="n">
        <v>0.9137999999999999</v>
      </c>
      <c r="D165" s="42" t="n"/>
      <c r="E165" s="41" t="inlineStr">
        <is>
          <t>204fs</t>
        </is>
      </c>
      <c r="F165" s="41">
        <f>A165</f>
        <v/>
      </c>
      <c r="G165" s="42" t="n"/>
      <c r="H165" s="41" t="inlineStr">
        <is>
          <t>204fs</t>
        </is>
      </c>
      <c r="I165" s="41" t="inlineStr">
        <is>
          <t>Lnft</t>
        </is>
      </c>
    </row>
    <row r="166" ht="21.25" customFormat="1" customHeight="1" s="39">
      <c r="A166" s="41" t="inlineStr">
        <is>
          <t>20 Ga 	6” Flatstock</t>
        </is>
      </c>
      <c r="B166" s="41" t="inlineStr">
        <is>
          <t>206fs</t>
        </is>
      </c>
      <c r="C166" s="42" t="n">
        <v>1.2062</v>
      </c>
      <c r="D166" s="42" t="n"/>
      <c r="E166" s="41" t="inlineStr">
        <is>
          <t>206fs</t>
        </is>
      </c>
      <c r="F166" s="41">
        <f>A166</f>
        <v/>
      </c>
      <c r="G166" s="42" t="n"/>
      <c r="H166" s="41" t="inlineStr">
        <is>
          <t>206fs</t>
        </is>
      </c>
      <c r="I166" s="41" t="inlineStr">
        <is>
          <t>Lnft</t>
        </is>
      </c>
    </row>
    <row r="167" ht="21.25" customFormat="1" customHeight="1" s="39">
      <c r="A167" s="41" t="inlineStr">
        <is>
          <t>18 Ga 	2” Flatstock</t>
        </is>
      </c>
      <c r="B167" s="41" t="inlineStr">
        <is>
          <t>182fs</t>
        </is>
      </c>
      <c r="C167" s="44" t="n"/>
      <c r="D167" s="42" t="n"/>
      <c r="E167" s="41" t="inlineStr">
        <is>
          <t>182fs</t>
        </is>
      </c>
      <c r="F167" s="41">
        <f>A167</f>
        <v/>
      </c>
      <c r="G167" s="42" t="n"/>
      <c r="H167" s="41" t="inlineStr">
        <is>
          <t>182fs</t>
        </is>
      </c>
      <c r="I167" s="41" t="inlineStr">
        <is>
          <t>Lnft</t>
        </is>
      </c>
    </row>
    <row r="168" ht="21.25" customFormat="1" customHeight="1" s="39">
      <c r="A168" s="41" t="inlineStr">
        <is>
          <t>18 Ga 	4” Flatstock</t>
        </is>
      </c>
      <c r="B168" s="41" t="inlineStr">
        <is>
          <t>184fs</t>
        </is>
      </c>
      <c r="C168" s="42" t="n"/>
      <c r="D168" s="42" t="n"/>
      <c r="E168" s="41" t="inlineStr">
        <is>
          <t>184fs</t>
        </is>
      </c>
      <c r="F168" s="41">
        <f>A168</f>
        <v/>
      </c>
      <c r="G168" s="42" t="n"/>
      <c r="H168" s="41" t="inlineStr">
        <is>
          <t>184fs</t>
        </is>
      </c>
      <c r="I168" s="41" t="inlineStr">
        <is>
          <t>Lnft</t>
        </is>
      </c>
    </row>
    <row r="169" ht="19.5" customFormat="1" customHeight="1" s="39">
      <c r="A169" s="41" t="inlineStr">
        <is>
          <t>18 Ga 	6” Flatstock</t>
        </is>
      </c>
      <c r="B169" s="41" t="inlineStr">
        <is>
          <t>186fs</t>
        </is>
      </c>
      <c r="C169" s="44" t="n"/>
      <c r="D169" s="42" t="n"/>
      <c r="E169" s="41" t="inlineStr">
        <is>
          <t>186fs</t>
        </is>
      </c>
      <c r="F169" s="41">
        <f>A169</f>
        <v/>
      </c>
      <c r="G169" s="42" t="n"/>
      <c r="H169" s="41" t="inlineStr">
        <is>
          <t>186fs</t>
        </is>
      </c>
      <c r="I169" s="41" t="inlineStr">
        <is>
          <t>Lnft</t>
        </is>
      </c>
    </row>
    <row r="170" ht="21.25" customFormat="1" customHeight="1" s="39">
      <c r="A170" s="41" t="inlineStr">
        <is>
          <t>Hanger Wire</t>
        </is>
      </c>
      <c r="B170" s="41" t="inlineStr">
        <is>
          <t>HW</t>
        </is>
      </c>
      <c r="C170" s="42" t="n">
        <v>0.61</v>
      </c>
      <c r="D170" s="42" t="n"/>
      <c r="E170" s="41" t="inlineStr">
        <is>
          <t>HW</t>
        </is>
      </c>
      <c r="F170" s="41">
        <f>A170</f>
        <v/>
      </c>
      <c r="G170" s="42" t="n"/>
      <c r="H170" s="41" t="inlineStr">
        <is>
          <t>HW</t>
        </is>
      </c>
      <c r="I170" s="41" t="inlineStr">
        <is>
          <t>Lnft</t>
        </is>
      </c>
    </row>
    <row r="171" ht="21.25" customFormat="1" customHeight="1" s="39">
      <c r="A171" s="41" t="inlineStr">
        <is>
          <t>9 Ga Hanger Wire</t>
        </is>
      </c>
      <c r="B171" s="41" t="inlineStr">
        <is>
          <t>9GHW</t>
        </is>
      </c>
      <c r="C171" s="44" t="n">
        <v>1.0685</v>
      </c>
      <c r="D171" s="42" t="n"/>
      <c r="E171" s="41" t="inlineStr">
        <is>
          <t>9GHW</t>
        </is>
      </c>
      <c r="F171" s="41">
        <f>A171</f>
        <v/>
      </c>
      <c r="G171" s="42" t="n"/>
      <c r="H171" s="41" t="inlineStr">
        <is>
          <t>9GHW</t>
        </is>
      </c>
      <c r="I171" s="41" t="inlineStr">
        <is>
          <t>Lnft</t>
        </is>
      </c>
    </row>
    <row r="172" ht="21.25" customFormat="1" customHeight="1" s="39">
      <c r="A172" s="41" t="inlineStr">
        <is>
          <t>Pencil Rod</t>
        </is>
      </c>
      <c r="B172" s="41" t="inlineStr">
        <is>
          <t>Pr</t>
        </is>
      </c>
      <c r="C172" s="44" t="n">
        <v>0.187</v>
      </c>
      <c r="D172" s="42" t="n"/>
      <c r="E172" s="41" t="inlineStr">
        <is>
          <t>Pr</t>
        </is>
      </c>
      <c r="F172" s="41">
        <f>A172</f>
        <v/>
      </c>
      <c r="G172" s="42" t="n"/>
      <c r="H172" s="41" t="inlineStr">
        <is>
          <t>Pr</t>
        </is>
      </c>
      <c r="I172" s="41" t="inlineStr">
        <is>
          <t>Lnft</t>
        </is>
      </c>
    </row>
    <row r="173" ht="21.25" customFormat="1" customHeight="1" s="39">
      <c r="A173" s="41" t="inlineStr">
        <is>
          <t>Tie Wire</t>
        </is>
      </c>
      <c r="B173" s="41" t="inlineStr">
        <is>
          <t>Tw</t>
        </is>
      </c>
      <c r="C173" s="44" t="n">
        <v>0.2</v>
      </c>
      <c r="D173" s="42" t="n"/>
      <c r="E173" s="41" t="inlineStr">
        <is>
          <t>Tw</t>
        </is>
      </c>
      <c r="F173" s="41">
        <f>A173</f>
        <v/>
      </c>
      <c r="G173" s="42" t="n"/>
      <c r="H173" s="41" t="inlineStr">
        <is>
          <t>Tw</t>
        </is>
      </c>
      <c r="I173" s="41" t="inlineStr">
        <is>
          <t>Lnft</t>
        </is>
      </c>
    </row>
    <row r="174" ht="21.25" customFormat="1" customHeight="1" s="39">
      <c r="A174" s="41" t="inlineStr">
        <is>
          <t>Wood Backing</t>
        </is>
      </c>
      <c r="B174" s="41" t="inlineStr">
        <is>
          <t>Wb</t>
        </is>
      </c>
      <c r="C174" s="44" t="n">
        <v>0.25</v>
      </c>
      <c r="D174" s="42" t="n"/>
      <c r="E174" s="41" t="inlineStr">
        <is>
          <t>Wb</t>
        </is>
      </c>
      <c r="F174" s="41">
        <f>A174</f>
        <v/>
      </c>
      <c r="G174" s="42" t="n"/>
      <c r="H174" s="41" t="inlineStr">
        <is>
          <t>Wb</t>
        </is>
      </c>
      <c r="I174" s="41" t="inlineStr">
        <is>
          <t>Lnft</t>
        </is>
      </c>
    </row>
    <row r="175" ht="21.25" customFormat="1" customHeight="1" s="39">
      <c r="A175" s="41" t="inlineStr">
        <is>
          <t>9 Ga Security Mesh</t>
        </is>
      </c>
      <c r="B175" s="41" t="inlineStr">
        <is>
          <t>SM</t>
        </is>
      </c>
      <c r="C175" s="44" t="n">
        <v>1.955</v>
      </c>
      <c r="D175" s="42" t="n"/>
      <c r="E175" s="41" t="inlineStr">
        <is>
          <t>SM</t>
        </is>
      </c>
      <c r="F175" s="41">
        <f>A175</f>
        <v/>
      </c>
      <c r="G175" s="42" t="n"/>
      <c r="H175" s="41" t="inlineStr">
        <is>
          <t>SM</t>
        </is>
      </c>
      <c r="I175" s="41" t="inlineStr">
        <is>
          <t>Lnft</t>
        </is>
      </c>
    </row>
    <row r="176" ht="21.25" customFormat="1" customHeight="1" s="39">
      <c r="A176" s="41" t="n"/>
      <c r="B176" s="41" t="n"/>
      <c r="C176" s="44" t="n"/>
      <c r="D176" s="42" t="n"/>
      <c r="E176" s="41" t="n"/>
      <c r="F176" s="41">
        <f>A176</f>
        <v/>
      </c>
      <c r="G176" s="42" t="n"/>
      <c r="H176" s="41" t="n"/>
      <c r="I176" s="41" t="inlineStr">
        <is>
          <t>Lnft</t>
        </is>
      </c>
    </row>
    <row r="177" ht="21.25" customFormat="1" customHeight="1" s="39">
      <c r="A177" s="41" t="inlineStr">
        <is>
          <t xml:space="preserve">25 Ga 	2 1/2” CT Stud </t>
        </is>
      </c>
      <c r="B177" s="41" t="inlineStr">
        <is>
          <t>252ct</t>
        </is>
      </c>
      <c r="C177" s="44" t="n">
        <v>1.6956</v>
      </c>
      <c r="D177" s="42" t="n"/>
      <c r="E177" s="41" t="inlineStr">
        <is>
          <t>252ct</t>
        </is>
      </c>
      <c r="F177" s="41">
        <f>A177</f>
        <v/>
      </c>
      <c r="G177" s="42" t="n"/>
      <c r="H177" s="41" t="inlineStr">
        <is>
          <t>252ct</t>
        </is>
      </c>
      <c r="I177" s="41" t="inlineStr">
        <is>
          <t>Lnft</t>
        </is>
      </c>
    </row>
    <row r="178" ht="21.25" customFormat="1" customHeight="1" s="39">
      <c r="A178" s="41" t="inlineStr">
        <is>
          <t>25 Ga 	2 1/2” J Track</t>
        </is>
      </c>
      <c r="B178" s="41" t="inlineStr">
        <is>
          <t>252jt</t>
        </is>
      </c>
      <c r="C178" s="42" t="n">
        <v>0.8616</v>
      </c>
      <c r="D178" s="42" t="n"/>
      <c r="E178" s="41" t="inlineStr">
        <is>
          <t>252jt</t>
        </is>
      </c>
      <c r="F178" s="41">
        <f>A178</f>
        <v/>
      </c>
      <c r="G178" s="42" t="n"/>
      <c r="H178" s="41" t="inlineStr">
        <is>
          <t>252jt</t>
        </is>
      </c>
      <c r="I178" s="41" t="inlineStr">
        <is>
          <t>Lnft</t>
        </is>
      </c>
    </row>
    <row r="179" ht="21.25" customFormat="1" customHeight="1" s="39">
      <c r="A179" s="41" t="inlineStr">
        <is>
          <t>25 Ga 	4” CT Stud</t>
        </is>
      </c>
      <c r="B179" s="41" t="inlineStr">
        <is>
          <t>254ct</t>
        </is>
      </c>
      <c r="C179" s="42" t="n">
        <v>2.0608</v>
      </c>
      <c r="D179" s="42" t="n"/>
      <c r="E179" s="41" t="inlineStr">
        <is>
          <t>254ct</t>
        </is>
      </c>
      <c r="F179" s="41">
        <f>A179</f>
        <v/>
      </c>
      <c r="G179" s="42" t="n"/>
      <c r="H179" s="41" t="inlineStr">
        <is>
          <t>254ct</t>
        </is>
      </c>
      <c r="I179" s="41" t="inlineStr">
        <is>
          <t>Lnft</t>
        </is>
      </c>
    </row>
    <row r="180" ht="21.25" customFormat="1" customHeight="1" s="39">
      <c r="A180" s="41" t="inlineStr">
        <is>
          <t>25 Ga 	4” J Track</t>
        </is>
      </c>
      <c r="B180" s="41" t="inlineStr">
        <is>
          <t>254jt</t>
        </is>
      </c>
      <c r="C180" s="44" t="n">
        <v>1.4612</v>
      </c>
      <c r="D180" s="42" t="n"/>
      <c r="E180" s="41" t="inlineStr">
        <is>
          <t>254jt</t>
        </is>
      </c>
      <c r="F180" s="41">
        <f>A180</f>
        <v/>
      </c>
      <c r="G180" s="42" t="n"/>
      <c r="H180" s="41" t="inlineStr">
        <is>
          <t>254jt</t>
        </is>
      </c>
      <c r="I180" s="41" t="inlineStr">
        <is>
          <t>Lnft</t>
        </is>
      </c>
    </row>
    <row r="181" ht="21.25" customFormat="1" customHeight="1" s="39">
      <c r="A181" s="41" t="inlineStr">
        <is>
          <t>25 Ga 	6” CT Stud</t>
        </is>
      </c>
      <c r="B181" s="41" t="inlineStr">
        <is>
          <t>256ct</t>
        </is>
      </c>
      <c r="C181" s="44" t="inlineStr">
        <is>
          <t>?</t>
        </is>
      </c>
      <c r="D181" s="42" t="n"/>
      <c r="E181" s="41" t="inlineStr">
        <is>
          <t>256ct</t>
        </is>
      </c>
      <c r="F181" s="41">
        <f>A181</f>
        <v/>
      </c>
      <c r="G181" s="42" t="n"/>
      <c r="H181" s="41" t="inlineStr">
        <is>
          <t>256ct</t>
        </is>
      </c>
      <c r="I181" s="41" t="inlineStr">
        <is>
          <t>Lnft</t>
        </is>
      </c>
    </row>
    <row r="182" ht="21.25" customFormat="1" customHeight="1" s="39">
      <c r="A182" s="41" t="inlineStr">
        <is>
          <t>25 Ga 	6” J Track</t>
        </is>
      </c>
      <c r="B182" s="41" t="inlineStr">
        <is>
          <t>256jt</t>
        </is>
      </c>
      <c r="C182" s="44" t="inlineStr">
        <is>
          <t>?</t>
        </is>
      </c>
      <c r="D182" s="42" t="n"/>
      <c r="E182" s="41" t="inlineStr">
        <is>
          <t>256jt</t>
        </is>
      </c>
      <c r="F182" s="41">
        <f>A182</f>
        <v/>
      </c>
      <c r="G182" s="42" t="n"/>
      <c r="H182" s="41" t="inlineStr">
        <is>
          <t>256jt</t>
        </is>
      </c>
      <c r="I182" s="41" t="inlineStr">
        <is>
          <t>Lnft</t>
        </is>
      </c>
    </row>
    <row r="183" ht="21.25" customFormat="1" customHeight="1" s="39">
      <c r="A183" s="41" t="inlineStr">
        <is>
          <t xml:space="preserve">20 Ga 	2 1/2” CT Stud </t>
        </is>
      </c>
      <c r="B183" s="41" t="inlineStr">
        <is>
          <t>202ct</t>
        </is>
      </c>
      <c r="C183" s="44" t="n">
        <v>2.9156</v>
      </c>
      <c r="D183" s="42" t="n"/>
      <c r="E183" s="41" t="inlineStr">
        <is>
          <t>202ct</t>
        </is>
      </c>
      <c r="F183" s="41">
        <f>A183</f>
        <v/>
      </c>
      <c r="G183" s="42" t="n"/>
      <c r="H183" s="41" t="inlineStr">
        <is>
          <t>202ct</t>
        </is>
      </c>
      <c r="I183" s="41" t="inlineStr">
        <is>
          <t>Lnft</t>
        </is>
      </c>
    </row>
    <row r="184" ht="21.25" customFormat="1" customHeight="1" s="39">
      <c r="A184" s="41" t="inlineStr">
        <is>
          <t>20 Ga 	2 1/2” J Track</t>
        </is>
      </c>
      <c r="B184" s="41" t="inlineStr">
        <is>
          <t>202jt</t>
        </is>
      </c>
      <c r="C184" s="44" t="n">
        <v>1.4474</v>
      </c>
      <c r="D184" s="42" t="n"/>
      <c r="E184" s="41" t="inlineStr">
        <is>
          <t>202jt</t>
        </is>
      </c>
      <c r="F184" s="41">
        <f>A184</f>
        <v/>
      </c>
      <c r="G184" s="42" t="n"/>
      <c r="H184" s="41" t="inlineStr">
        <is>
          <t>202jt</t>
        </is>
      </c>
      <c r="I184" s="41" t="inlineStr">
        <is>
          <t>Lnft</t>
        </is>
      </c>
    </row>
    <row r="185" ht="21.25" customFormat="1" customHeight="1" s="39">
      <c r="A185" s="41" t="inlineStr">
        <is>
          <t>20 Ga 	4” CT Stud</t>
        </is>
      </c>
      <c r="B185" s="41" t="inlineStr">
        <is>
          <t>204ct</t>
        </is>
      </c>
      <c r="C185" s="44" t="n">
        <v>3.5221</v>
      </c>
      <c r="D185" s="42" t="n"/>
      <c r="E185" s="41" t="inlineStr">
        <is>
          <t>204ct</t>
        </is>
      </c>
      <c r="F185" s="41">
        <f>A185</f>
        <v/>
      </c>
      <c r="G185" s="42" t="n"/>
      <c r="H185" s="41" t="inlineStr">
        <is>
          <t>204ct</t>
        </is>
      </c>
      <c r="I185" s="41" t="inlineStr">
        <is>
          <t>Lnft</t>
        </is>
      </c>
    </row>
    <row r="186" ht="21.25" customFormat="1" customHeight="1" s="39">
      <c r="A186" s="41" t="inlineStr">
        <is>
          <t>20 Ga 	4” J Track</t>
        </is>
      </c>
      <c r="B186" s="41" t="inlineStr">
        <is>
          <t>204jt</t>
        </is>
      </c>
      <c r="C186" s="42" t="n">
        <v>2.757</v>
      </c>
      <c r="D186" s="42" t="n"/>
      <c r="E186" s="41" t="inlineStr">
        <is>
          <t>204jt</t>
        </is>
      </c>
      <c r="F186" s="41">
        <f>A186</f>
        <v/>
      </c>
      <c r="G186" s="42" t="n"/>
      <c r="H186" s="41" t="inlineStr">
        <is>
          <t>204jt</t>
        </is>
      </c>
      <c r="I186" s="41" t="inlineStr">
        <is>
          <t>Lnft</t>
        </is>
      </c>
    </row>
    <row r="187" ht="21.25" customFormat="1" customHeight="1" s="39">
      <c r="A187" s="41" t="inlineStr">
        <is>
          <t>20 Ga 	6” CT Stud</t>
        </is>
      </c>
      <c r="B187" s="41" t="inlineStr">
        <is>
          <t>206ct</t>
        </is>
      </c>
      <c r="C187" s="44" t="n">
        <v>4.3285</v>
      </c>
      <c r="D187" s="42" t="n"/>
      <c r="E187" s="41" t="inlineStr">
        <is>
          <t>206ct</t>
        </is>
      </c>
      <c r="F187" s="41">
        <f>A187</f>
        <v/>
      </c>
      <c r="G187" s="42" t="n"/>
      <c r="H187" s="41" t="inlineStr">
        <is>
          <t>206ct</t>
        </is>
      </c>
      <c r="I187" s="41" t="inlineStr">
        <is>
          <t>Lnft</t>
        </is>
      </c>
    </row>
    <row r="188" ht="21.25" customFormat="1" customHeight="1" s="39">
      <c r="A188" s="41" t="inlineStr">
        <is>
          <t>20 Ga 	6” J Track</t>
        </is>
      </c>
      <c r="B188" s="41" t="inlineStr">
        <is>
          <t>206jt</t>
        </is>
      </c>
      <c r="C188" s="44" t="n">
        <v>3.1017</v>
      </c>
      <c r="D188" s="42" t="n"/>
      <c r="E188" s="41" t="inlineStr">
        <is>
          <t>206jt</t>
        </is>
      </c>
      <c r="F188" s="41">
        <f>A188</f>
        <v/>
      </c>
      <c r="G188" s="42" t="n"/>
      <c r="H188" s="41" t="inlineStr">
        <is>
          <t>206jt</t>
        </is>
      </c>
      <c r="I188" s="41" t="inlineStr">
        <is>
          <t>Lnft</t>
        </is>
      </c>
    </row>
    <row r="189" ht="21.25" customFormat="1" customHeight="1" s="39">
      <c r="A189" s="41" t="n"/>
      <c r="B189" s="41" t="n"/>
      <c r="C189" s="44" t="n"/>
      <c r="D189" s="42" t="n"/>
      <c r="E189" s="41" t="n"/>
      <c r="F189" s="41">
        <f>A189</f>
        <v/>
      </c>
      <c r="G189" s="42" t="n"/>
      <c r="H189" s="41" t="n"/>
      <c r="I189" s="41" t="n"/>
    </row>
    <row r="190" ht="21.25" customFormat="1" customHeight="1" s="39">
      <c r="A190" s="41" t="n"/>
      <c r="B190" s="41" t="n"/>
      <c r="C190" s="44" t="n"/>
      <c r="D190" s="42" t="n"/>
      <c r="E190" s="41" t="n"/>
      <c r="F190" s="41">
        <f>A190</f>
        <v/>
      </c>
      <c r="G190" s="42" t="n"/>
      <c r="H190" s="41" t="n"/>
      <c r="I190" s="41" t="n"/>
    </row>
    <row r="191" ht="21.25" customFormat="1" customHeight="1" s="39">
      <c r="A191" s="41" t="n"/>
      <c r="B191" s="41" t="n"/>
      <c r="C191" s="44" t="n"/>
      <c r="D191" s="42" t="n"/>
      <c r="E191" s="41" t="n"/>
      <c r="F191" s="41">
        <f>A191</f>
        <v/>
      </c>
      <c r="G191" s="42" t="n"/>
      <c r="H191" s="41" t="n"/>
      <c r="I191" s="41" t="n"/>
    </row>
    <row r="192" ht="21.25" customFormat="1" customHeight="1" s="39">
      <c r="A192" s="41" t="inlineStr">
        <is>
          <t>Yellow Box</t>
        </is>
      </c>
      <c r="B192" s="41" t="inlineStr">
        <is>
          <t>mb</t>
        </is>
      </c>
      <c r="C192" s="44" t="n">
        <v>22.96</v>
      </c>
      <c r="D192" s="42" t="n"/>
      <c r="E192" s="41" t="inlineStr">
        <is>
          <t>mb</t>
        </is>
      </c>
      <c r="F192" s="41">
        <f>A192</f>
        <v/>
      </c>
      <c r="G192" s="42" t="n"/>
      <c r="H192" s="41" t="inlineStr">
        <is>
          <t>mb</t>
        </is>
      </c>
      <c r="I192" s="41" t="inlineStr">
        <is>
          <t>Box</t>
        </is>
      </c>
    </row>
    <row r="193" ht="21.25" customFormat="1" customHeight="1" s="39">
      <c r="A193" s="41" t="inlineStr">
        <is>
          <t>Yellow Pail</t>
        </is>
      </c>
      <c r="B193" s="41" t="inlineStr">
        <is>
          <t>mp</t>
        </is>
      </c>
      <c r="C193" s="42" t="n">
        <v>46.87</v>
      </c>
      <c r="D193" s="42" t="n"/>
      <c r="E193" s="41" t="inlineStr">
        <is>
          <t>mp</t>
        </is>
      </c>
      <c r="F193" s="41">
        <f>A193</f>
        <v/>
      </c>
      <c r="G193" s="42" t="n"/>
      <c r="H193" s="41" t="inlineStr">
        <is>
          <t>mp</t>
        </is>
      </c>
      <c r="I193" s="41" t="inlineStr">
        <is>
          <t>Pail</t>
        </is>
      </c>
    </row>
    <row r="194" ht="21.25" customFormat="1" customHeight="1" s="39">
      <c r="A194" s="41" t="n"/>
      <c r="B194" s="41" t="n"/>
      <c r="C194" s="42" t="n"/>
      <c r="D194" s="42" t="n"/>
      <c r="E194" s="41" t="n"/>
      <c r="F194" s="41">
        <f>A194</f>
        <v/>
      </c>
      <c r="G194" s="42" t="n"/>
      <c r="H194" s="41" t="n"/>
      <c r="I194" s="41" t="n"/>
    </row>
    <row r="195" ht="21.25" customFormat="1" customHeight="1" s="39">
      <c r="A195" s="41" t="inlineStr">
        <is>
          <t>Hamilton UtraFill</t>
        </is>
      </c>
      <c r="B195" s="41" t="inlineStr">
        <is>
          <t>huf</t>
        </is>
      </c>
      <c r="C195" s="44" t="n">
        <v>27.42</v>
      </c>
      <c r="D195" s="42" t="n"/>
      <c r="E195" s="41" t="inlineStr">
        <is>
          <t>huf</t>
        </is>
      </c>
      <c r="F195" s="41">
        <f>A195</f>
        <v/>
      </c>
      <c r="G195" s="42" t="n"/>
      <c r="H195" s="41" t="inlineStr">
        <is>
          <t>huf</t>
        </is>
      </c>
      <c r="I195" s="41" t="inlineStr">
        <is>
          <t>Lnft</t>
        </is>
      </c>
    </row>
    <row r="196" ht="21.25" customFormat="1" customHeight="1" s="39">
      <c r="A196" s="41" t="inlineStr">
        <is>
          <t>Hamilton UltraCeil</t>
        </is>
      </c>
      <c r="B196" s="41" t="inlineStr">
        <is>
          <t>huc</t>
        </is>
      </c>
      <c r="C196" s="44" t="n">
        <v>31.65</v>
      </c>
      <c r="D196" s="42" t="n"/>
      <c r="E196" s="41" t="inlineStr">
        <is>
          <t>huc</t>
        </is>
      </c>
      <c r="F196" s="41">
        <f>A196</f>
        <v/>
      </c>
      <c r="G196" s="42" t="n"/>
      <c r="H196" s="41" t="inlineStr">
        <is>
          <t>huc</t>
        </is>
      </c>
      <c r="I196" s="41" t="inlineStr">
        <is>
          <t>Lnft</t>
        </is>
      </c>
    </row>
    <row r="197" ht="21.25" customFormat="1" customHeight="1" s="39">
      <c r="A197" s="41" t="inlineStr">
        <is>
          <t>Paper Joint Tape Roll</t>
        </is>
      </c>
      <c r="B197" s="41" t="inlineStr">
        <is>
          <t>jt</t>
        </is>
      </c>
      <c r="C197" s="44" t="n">
        <v>7.99</v>
      </c>
      <c r="D197" s="42" t="n"/>
      <c r="E197" s="41" t="inlineStr">
        <is>
          <t>jt</t>
        </is>
      </c>
      <c r="F197" s="41">
        <f>A197</f>
        <v/>
      </c>
      <c r="G197" s="42" t="n"/>
      <c r="H197" s="41" t="inlineStr">
        <is>
          <t>jt</t>
        </is>
      </c>
      <c r="I197" s="41" t="inlineStr">
        <is>
          <t>Lnft</t>
        </is>
      </c>
    </row>
    <row r="198" ht="21.25" customFormat="1" customHeight="1" s="39">
      <c r="A198" s="41" t="inlineStr">
        <is>
          <t>Paper Corner Bead</t>
        </is>
      </c>
      <c r="B198" s="41" t="inlineStr">
        <is>
          <t>cb</t>
        </is>
      </c>
      <c r="C198" s="44" t="n">
        <v>0.3993</v>
      </c>
      <c r="D198" s="42" t="n"/>
      <c r="E198" s="41" t="inlineStr">
        <is>
          <t>cb</t>
        </is>
      </c>
      <c r="F198" s="41">
        <f>A198</f>
        <v/>
      </c>
      <c r="G198" s="42" t="n"/>
      <c r="H198" s="41" t="inlineStr">
        <is>
          <t>cb</t>
        </is>
      </c>
      <c r="I198" s="41" t="inlineStr">
        <is>
          <t>Lnft</t>
        </is>
      </c>
    </row>
    <row r="199" ht="21.25" customFormat="1" customHeight="1" s="39">
      <c r="A199" s="41" t="inlineStr">
        <is>
          <t>Tear Away Bead</t>
        </is>
      </c>
      <c r="B199" s="41" t="inlineStr">
        <is>
          <t>ta</t>
        </is>
      </c>
      <c r="C199" s="44" t="n">
        <v>0.404</v>
      </c>
      <c r="D199" s="42" t="n"/>
      <c r="E199" s="41" t="inlineStr">
        <is>
          <t>ta</t>
        </is>
      </c>
      <c r="F199" s="41">
        <f>A199</f>
        <v/>
      </c>
      <c r="G199" s="42" t="n"/>
      <c r="H199" s="41" t="inlineStr">
        <is>
          <t>ta</t>
        </is>
      </c>
      <c r="I199" s="41" t="inlineStr">
        <is>
          <t>Lnft</t>
        </is>
      </c>
    </row>
    <row r="200" ht="21.25" customFormat="1" customHeight="1" s="39">
      <c r="A200" s="41" t="inlineStr">
        <is>
          <t>1/2” Paper L Bead</t>
        </is>
      </c>
      <c r="B200" s="41" t="inlineStr">
        <is>
          <t>12pl</t>
        </is>
      </c>
      <c r="C200" s="44" t="n">
        <v>0.4162</v>
      </c>
      <c r="D200" s="42" t="n"/>
      <c r="E200" s="41" t="inlineStr">
        <is>
          <t>12pl</t>
        </is>
      </c>
      <c r="F200" s="41">
        <f>A200</f>
        <v/>
      </c>
      <c r="G200" s="42" t="n"/>
      <c r="H200" s="41" t="inlineStr">
        <is>
          <t>12pl</t>
        </is>
      </c>
      <c r="I200" s="41" t="inlineStr">
        <is>
          <t>Lnft</t>
        </is>
      </c>
    </row>
    <row r="201" ht="21.25" customFormat="1" customHeight="1" s="39">
      <c r="A201" s="41" t="inlineStr">
        <is>
          <t>5/8” Paper L Bead</t>
        </is>
      </c>
      <c r="B201" s="41" t="inlineStr">
        <is>
          <t>58pl</t>
        </is>
      </c>
      <c r="C201" s="44" t="n">
        <v>0.4162</v>
      </c>
      <c r="D201" s="42" t="n"/>
      <c r="E201" s="41" t="inlineStr">
        <is>
          <t>58pl</t>
        </is>
      </c>
      <c r="F201" s="41">
        <f>A201</f>
        <v/>
      </c>
      <c r="G201" s="42" t="n"/>
      <c r="H201" s="41" t="inlineStr">
        <is>
          <t>58pl</t>
        </is>
      </c>
      <c r="I201" s="41" t="inlineStr">
        <is>
          <t>Lnft</t>
        </is>
      </c>
    </row>
    <row r="202" ht="21.25" customFormat="1" customHeight="1" s="39">
      <c r="A202" s="41" t="inlineStr">
        <is>
          <t>1/2” Plastic J Bead</t>
        </is>
      </c>
      <c r="B202" s="41" t="inlineStr">
        <is>
          <t>12pj</t>
        </is>
      </c>
      <c r="C202" s="44" t="n">
        <v>0.176</v>
      </c>
      <c r="D202" s="42" t="n"/>
      <c r="E202" s="41" t="inlineStr">
        <is>
          <t>12pj</t>
        </is>
      </c>
      <c r="F202" s="41">
        <f>A202</f>
        <v/>
      </c>
      <c r="G202" s="42" t="n"/>
      <c r="H202" s="41" t="inlineStr">
        <is>
          <t>12pj</t>
        </is>
      </c>
      <c r="I202" s="41" t="inlineStr">
        <is>
          <t>Lnft</t>
        </is>
      </c>
    </row>
    <row r="203" ht="21.25" customFormat="1" customHeight="1" s="39">
      <c r="A203" s="46" t="inlineStr">
        <is>
          <t>5/8” Plastic J Bead</t>
        </is>
      </c>
      <c r="B203" s="41" t="inlineStr">
        <is>
          <t>58pj</t>
        </is>
      </c>
      <c r="C203" s="44" t="n">
        <v>0.248</v>
      </c>
      <c r="D203" s="42" t="n"/>
      <c r="E203" s="41" t="inlineStr">
        <is>
          <t>58pj</t>
        </is>
      </c>
      <c r="F203" s="41">
        <f>A203</f>
        <v/>
      </c>
      <c r="G203" s="42" t="n"/>
      <c r="H203" s="41" t="inlineStr">
        <is>
          <t>58pj</t>
        </is>
      </c>
      <c r="I203" s="41" t="inlineStr">
        <is>
          <t>Lnft</t>
        </is>
      </c>
    </row>
    <row r="204" ht="21.25" customFormat="1" customHeight="1" s="39">
      <c r="A204" s="46" t="inlineStr">
        <is>
          <t>1/2” Paper J Bead</t>
        </is>
      </c>
      <c r="B204" s="41" t="inlineStr">
        <is>
          <t>12pj</t>
        </is>
      </c>
      <c r="C204" s="44" t="n">
        <v>0.5206</v>
      </c>
      <c r="D204" s="42" t="n"/>
      <c r="E204" s="41" t="inlineStr">
        <is>
          <t>12pj</t>
        </is>
      </c>
      <c r="F204" s="41">
        <f>A204</f>
        <v/>
      </c>
      <c r="G204" s="42" t="n"/>
      <c r="H204" s="41" t="inlineStr">
        <is>
          <t>12pj</t>
        </is>
      </c>
      <c r="I204" s="41" t="inlineStr">
        <is>
          <t>Lnft</t>
        </is>
      </c>
    </row>
    <row r="205" ht="21.25" customFormat="1" customHeight="1" s="39">
      <c r="A205" s="41" t="inlineStr">
        <is>
          <t>5/8” Paper J Bead</t>
        </is>
      </c>
      <c r="B205" s="41" t="inlineStr">
        <is>
          <t>58pj</t>
        </is>
      </c>
      <c r="C205" s="44" t="n">
        <v>0.5206</v>
      </c>
      <c r="D205" s="42" t="n"/>
      <c r="E205" s="41" t="inlineStr">
        <is>
          <t>58pj</t>
        </is>
      </c>
      <c r="F205" s="41">
        <f>A205</f>
        <v/>
      </c>
      <c r="G205" s="42" t="n"/>
      <c r="H205" s="41" t="inlineStr">
        <is>
          <t>58pj</t>
        </is>
      </c>
      <c r="I205" s="41" t="inlineStr">
        <is>
          <t>Lnft</t>
        </is>
      </c>
    </row>
    <row r="206" ht="21.25" customFormat="1" customHeight="1" s="39">
      <c r="A206" s="46" t="inlineStr">
        <is>
          <t>No Coat 325</t>
        </is>
      </c>
      <c r="B206" s="41" t="inlineStr">
        <is>
          <t>nc325</t>
        </is>
      </c>
      <c r="C206" s="44" t="n">
        <v>116.92</v>
      </c>
      <c r="D206" s="42" t="n"/>
      <c r="E206" s="41" t="inlineStr">
        <is>
          <t>nc325</t>
        </is>
      </c>
      <c r="F206" s="41">
        <f>A206</f>
        <v/>
      </c>
      <c r="G206" s="42" t="n"/>
      <c r="H206" s="41" t="inlineStr">
        <is>
          <t>nc325</t>
        </is>
      </c>
      <c r="I206" s="41" t="inlineStr">
        <is>
          <t>Lnft</t>
        </is>
      </c>
    </row>
    <row r="207" ht="21.25" customFormat="1" customHeight="1" s="39">
      <c r="A207" s="41" t="inlineStr">
        <is>
          <t>No Coat 450</t>
        </is>
      </c>
      <c r="B207" s="41" t="inlineStr">
        <is>
          <t>nc450</t>
        </is>
      </c>
      <c r="C207" s="44" t="n">
        <v>200.79</v>
      </c>
      <c r="D207" s="42" t="n"/>
      <c r="E207" s="41" t="inlineStr">
        <is>
          <t>nc450</t>
        </is>
      </c>
      <c r="F207" s="41">
        <f>A207</f>
        <v/>
      </c>
      <c r="G207" s="42" t="n"/>
      <c r="H207" s="41" t="inlineStr">
        <is>
          <t>nc450</t>
        </is>
      </c>
      <c r="I207" s="41" t="inlineStr">
        <is>
          <t>Lnft</t>
        </is>
      </c>
    </row>
    <row r="208" ht="21.25" customFormat="1" customHeight="1" s="39">
      <c r="A208" s="41" t="n"/>
      <c r="B208" s="41" t="n"/>
      <c r="C208" s="44" t="n"/>
      <c r="D208" s="42" t="n"/>
      <c r="E208" s="41" t="n">
        <v>0</v>
      </c>
      <c r="F208" s="41">
        <f>A208</f>
        <v/>
      </c>
      <c r="G208" s="42" t="n"/>
      <c r="H208" s="41" t="n">
        <v>0</v>
      </c>
      <c r="I208" s="41" t="inlineStr">
        <is>
          <t>Pcs</t>
        </is>
      </c>
    </row>
    <row r="209" ht="21.25" customFormat="1" customHeight="1" s="39">
      <c r="A209" s="41" t="n"/>
      <c r="B209" s="41" t="n"/>
      <c r="C209" s="44" t="n"/>
      <c r="D209" s="42" t="n"/>
      <c r="E209" s="41" t="n"/>
      <c r="F209" s="41">
        <f>A209</f>
        <v/>
      </c>
      <c r="G209" s="42" t="n"/>
      <c r="H209" s="41" t="n"/>
      <c r="I209" s="41" t="inlineStr">
        <is>
          <t>Pcs</t>
        </is>
      </c>
    </row>
    <row r="210" ht="21.25" customFormat="1" customHeight="1" s="39">
      <c r="A210" s="41" t="inlineStr">
        <is>
          <t>Main T</t>
        </is>
      </c>
      <c r="B210" s="41" t="inlineStr">
        <is>
          <t>mt</t>
        </is>
      </c>
      <c r="C210" s="44" t="n">
        <v>1.3602</v>
      </c>
      <c r="D210" s="42" t="n"/>
      <c r="E210" s="41" t="inlineStr">
        <is>
          <t>mt</t>
        </is>
      </c>
      <c r="F210" s="41">
        <f>A210</f>
        <v/>
      </c>
      <c r="G210" s="42" t="n"/>
      <c r="H210" s="41" t="inlineStr">
        <is>
          <t>mt</t>
        </is>
      </c>
      <c r="I210" s="41" t="inlineStr">
        <is>
          <t>Pcs</t>
        </is>
      </c>
    </row>
    <row r="211" ht="21.25" customFormat="1" customHeight="1" s="39">
      <c r="A211" s="41" t="inlineStr">
        <is>
          <t>5’ Cross T</t>
        </is>
      </c>
      <c r="B211" s="41" t="inlineStr">
        <is>
          <t>5ct</t>
        </is>
      </c>
      <c r="C211" s="44" t="n">
        <v>1.3602</v>
      </c>
      <c r="D211" s="42" t="n"/>
      <c r="E211" s="41" t="inlineStr">
        <is>
          <t>5ct</t>
        </is>
      </c>
      <c r="F211" s="41">
        <f>A211</f>
        <v/>
      </c>
      <c r="G211" s="42" t="n"/>
      <c r="H211" s="41" t="inlineStr">
        <is>
          <t>5ct</t>
        </is>
      </c>
      <c r="I211" s="41" t="inlineStr">
        <is>
          <t>Pcs</t>
        </is>
      </c>
    </row>
    <row r="212" ht="21.25" customFormat="1" customHeight="1" s="39">
      <c r="A212" s="41" t="inlineStr">
        <is>
          <t>4’ Cross T</t>
        </is>
      </c>
      <c r="B212" s="41" t="inlineStr">
        <is>
          <t>4ct</t>
        </is>
      </c>
      <c r="C212" s="44" t="n">
        <v>1.2902</v>
      </c>
      <c r="D212" s="42" t="n"/>
      <c r="E212" s="41" t="inlineStr">
        <is>
          <t>4ct</t>
        </is>
      </c>
      <c r="F212" s="41">
        <f>A212</f>
        <v/>
      </c>
      <c r="G212" s="42" t="n"/>
      <c r="H212" s="41" t="inlineStr">
        <is>
          <t>4ct</t>
        </is>
      </c>
      <c r="I212" s="41" t="inlineStr">
        <is>
          <t>Pcs</t>
        </is>
      </c>
    </row>
    <row r="213" ht="21.25" customFormat="1" customHeight="1" s="39">
      <c r="A213" s="41" t="inlineStr">
        <is>
          <t>2’ Cross T</t>
        </is>
      </c>
      <c r="B213" s="41" t="inlineStr">
        <is>
          <t>2ct</t>
        </is>
      </c>
      <c r="C213" s="44" t="n">
        <v>1.0901</v>
      </c>
      <c r="D213" s="42" t="n"/>
      <c r="E213" s="41" t="inlineStr">
        <is>
          <t>2ct</t>
        </is>
      </c>
      <c r="F213" s="41">
        <f>A213</f>
        <v/>
      </c>
      <c r="G213" s="42" t="n"/>
      <c r="H213" s="41" t="inlineStr">
        <is>
          <t>2ct</t>
        </is>
      </c>
      <c r="I213" s="41" t="inlineStr">
        <is>
          <t>Pcs</t>
        </is>
      </c>
    </row>
    <row r="214" ht="21.25" customFormat="1" customHeight="1" s="39">
      <c r="A214" s="41" t="inlineStr">
        <is>
          <t>Main 9/16" T</t>
        </is>
      </c>
      <c r="B214" s="41" t="inlineStr">
        <is>
          <t>flmt</t>
        </is>
      </c>
      <c r="C214" s="44" t="n">
        <v>1.5145</v>
      </c>
      <c r="D214" s="42" t="n"/>
      <c r="E214" s="41" t="inlineStr">
        <is>
          <t>flmt</t>
        </is>
      </c>
      <c r="F214" s="41">
        <f>A214</f>
        <v/>
      </c>
      <c r="G214" s="42" t="n"/>
      <c r="H214" s="41" t="inlineStr">
        <is>
          <t>flmt</t>
        </is>
      </c>
      <c r="I214" s="41" t="inlineStr">
        <is>
          <t>Pcs</t>
        </is>
      </c>
    </row>
    <row r="215" ht="21.25" customFormat="1" customHeight="1" s="39">
      <c r="A215" s="41" t="inlineStr">
        <is>
          <t>9/16" 5’ Cross T</t>
        </is>
      </c>
      <c r="B215" s="41" t="inlineStr">
        <is>
          <t>fl5</t>
        </is>
      </c>
      <c r="C215" s="44" t="n">
        <v>1.4366</v>
      </c>
      <c r="D215" s="42" t="n"/>
      <c r="E215" s="41" t="inlineStr">
        <is>
          <t>fl5</t>
        </is>
      </c>
      <c r="F215" s="41">
        <f>A215</f>
        <v/>
      </c>
      <c r="G215" s="42" t="n"/>
      <c r="H215" s="41" t="inlineStr">
        <is>
          <t>fl5</t>
        </is>
      </c>
      <c r="I215" s="41" t="inlineStr">
        <is>
          <t>Pcs</t>
        </is>
      </c>
    </row>
    <row r="216" ht="21.25" customFormat="1" customHeight="1" s="39">
      <c r="A216" s="41" t="inlineStr">
        <is>
          <t>9/16" 4’ Cross T</t>
        </is>
      </c>
      <c r="B216" s="41" t="inlineStr">
        <is>
          <t>fl4</t>
        </is>
      </c>
      <c r="C216" s="44" t="n">
        <v>1.4366</v>
      </c>
      <c r="D216" s="42" t="n"/>
      <c r="E216" s="41" t="inlineStr">
        <is>
          <t>fl4</t>
        </is>
      </c>
      <c r="F216" s="41">
        <f>A216</f>
        <v/>
      </c>
      <c r="G216" s="42" t="n"/>
      <c r="H216" s="41" t="inlineStr">
        <is>
          <t>fl4</t>
        </is>
      </c>
      <c r="I216" s="41" t="inlineStr">
        <is>
          <t>Pcs</t>
        </is>
      </c>
    </row>
    <row r="217" ht="21.25" customFormat="1" customHeight="1" s="39">
      <c r="A217" s="41" t="inlineStr">
        <is>
          <t>9/16" 2’ Cross T</t>
        </is>
      </c>
      <c r="B217" s="41" t="inlineStr">
        <is>
          <t>fl2</t>
        </is>
      </c>
      <c r="C217" s="44" t="n">
        <v>1.4366</v>
      </c>
      <c r="D217" s="42" t="n"/>
      <c r="E217" s="41" t="inlineStr">
        <is>
          <t>fl2</t>
        </is>
      </c>
      <c r="F217" s="41">
        <f>A217</f>
        <v/>
      </c>
      <c r="G217" s="42" t="n"/>
      <c r="H217" s="41" t="inlineStr">
        <is>
          <t>fl2</t>
        </is>
      </c>
      <c r="I217" s="41" t="inlineStr">
        <is>
          <t>Pcs</t>
        </is>
      </c>
    </row>
    <row r="218" ht="21.25" customFormat="1" customHeight="1" s="39">
      <c r="A218" s="41" t="inlineStr">
        <is>
          <t>Wall Mould</t>
        </is>
      </c>
      <c r="B218" s="41" t="inlineStr">
        <is>
          <t>Wm</t>
        </is>
      </c>
      <c r="C218" s="44" t="n">
        <v>0.7701</v>
      </c>
      <c r="D218" s="42" t="n"/>
      <c r="E218" s="41" t="inlineStr">
        <is>
          <t>Wm</t>
        </is>
      </c>
      <c r="F218" s="41">
        <f>A218</f>
        <v/>
      </c>
      <c r="G218" s="42" t="n"/>
      <c r="H218" s="41" t="inlineStr">
        <is>
          <t>Wm</t>
        </is>
      </c>
      <c r="I218" s="41" t="inlineStr">
        <is>
          <t>Pcs</t>
        </is>
      </c>
    </row>
    <row r="219" ht="21.25" customFormat="1" customHeight="1" s="39">
      <c r="A219" s="41" t="inlineStr">
        <is>
          <t>Wall Mould 9/16"</t>
        </is>
      </c>
      <c r="B219" s="41" t="inlineStr">
        <is>
          <t>flWm</t>
        </is>
      </c>
      <c r="C219" s="44" t="n">
        <v>0.8436</v>
      </c>
      <c r="D219" s="42" t="n"/>
      <c r="E219" s="41" t="inlineStr">
        <is>
          <t>flWm</t>
        </is>
      </c>
      <c r="F219" s="41">
        <f>A219</f>
        <v/>
      </c>
      <c r="G219" s="42" t="n"/>
      <c r="H219" s="41" t="inlineStr">
        <is>
          <t>flWm</t>
        </is>
      </c>
      <c r="I219" s="41" t="inlineStr">
        <is>
          <t>Pcs</t>
        </is>
      </c>
    </row>
    <row r="220" ht="21.25" customFormat="1" customHeight="1" s="39">
      <c r="A220" s="41" t="inlineStr">
        <is>
          <t>Shadow Mold</t>
        </is>
      </c>
      <c r="B220" s="41" t="inlineStr">
        <is>
          <t>shm</t>
        </is>
      </c>
      <c r="C220" s="44" t="n">
        <v>2.202</v>
      </c>
      <c r="D220" s="42" t="n"/>
      <c r="E220" s="41" t="inlineStr">
        <is>
          <t>shm</t>
        </is>
      </c>
      <c r="F220" s="41">
        <f>A220</f>
        <v/>
      </c>
      <c r="G220" s="42" t="n"/>
      <c r="H220" s="41" t="inlineStr">
        <is>
          <t>shm</t>
        </is>
      </c>
      <c r="I220" s="41" t="inlineStr">
        <is>
          <t>Pcs</t>
        </is>
      </c>
    </row>
    <row r="221" ht="18" customFormat="1" customHeight="1" s="39">
      <c r="A221" s="41" t="inlineStr">
        <is>
          <t>Drywall Grid Main T</t>
        </is>
      </c>
      <c r="B221" s="41" t="inlineStr">
        <is>
          <t>DWGMT</t>
        </is>
      </c>
      <c r="C221" s="44" t="n">
        <v>1.4302</v>
      </c>
      <c r="D221" s="42" t="n"/>
      <c r="E221" s="41" t="inlineStr">
        <is>
          <t>DWGMT</t>
        </is>
      </c>
      <c r="F221" s="41">
        <f>A221</f>
        <v/>
      </c>
      <c r="G221" s="42" t="n"/>
      <c r="H221" s="41" t="inlineStr">
        <is>
          <t>DWGMT</t>
        </is>
      </c>
      <c r="I221" s="41" t="inlineStr">
        <is>
          <t>Pcs</t>
        </is>
      </c>
    </row>
    <row r="222" ht="21.25" customFormat="1" customHeight="1" s="39">
      <c r="A222" s="41" t="inlineStr">
        <is>
          <t>Drywall Grid 4' T</t>
        </is>
      </c>
      <c r="B222" s="41" t="inlineStr">
        <is>
          <t>DWG4</t>
        </is>
      </c>
      <c r="C222" s="44" t="n">
        <v>1.3902</v>
      </c>
      <c r="D222" s="42" t="n"/>
      <c r="E222" s="41" t="inlineStr">
        <is>
          <t>DWG4</t>
        </is>
      </c>
      <c r="F222" s="41">
        <f>A222</f>
        <v/>
      </c>
      <c r="G222" s="42" t="n"/>
      <c r="H222" s="41" t="inlineStr">
        <is>
          <t>DWG4</t>
        </is>
      </c>
      <c r="I222" s="41" t="inlineStr">
        <is>
          <t>Pcs</t>
        </is>
      </c>
    </row>
    <row r="223" ht="21.25" customFormat="1" customHeight="1" s="39">
      <c r="A223" s="41" t="inlineStr">
        <is>
          <t>Drywall Grid 2' T</t>
        </is>
      </c>
      <c r="B223" s="41" t="inlineStr">
        <is>
          <t>DWG2</t>
        </is>
      </c>
      <c r="C223" s="44" t="n">
        <v>1.3582</v>
      </c>
      <c r="D223" s="42" t="n"/>
      <c r="E223" s="41" t="inlineStr">
        <is>
          <t>DWG2</t>
        </is>
      </c>
      <c r="F223" s="41">
        <f>A223</f>
        <v/>
      </c>
      <c r="G223" s="42" t="n"/>
      <c r="H223" s="41" t="inlineStr">
        <is>
          <t>DWG2</t>
        </is>
      </c>
      <c r="I223" s="41" t="inlineStr">
        <is>
          <t>Pcs</t>
        </is>
      </c>
    </row>
    <row r="224" ht="21.25" customFormat="1" customHeight="1" s="39">
      <c r="A224" s="41" t="inlineStr">
        <is>
          <t>Stock Tile</t>
        </is>
      </c>
      <c r="B224" s="41" t="inlineStr">
        <is>
          <t>T2310</t>
        </is>
      </c>
      <c r="C224" s="44" t="n">
        <v>1.0695</v>
      </c>
      <c r="D224" s="42" t="n"/>
      <c r="E224" s="41" t="inlineStr">
        <is>
          <t>T2310</t>
        </is>
      </c>
      <c r="F224" s="41">
        <f>A224</f>
        <v/>
      </c>
      <c r="G224" s="42" t="n"/>
      <c r="H224" s="41" t="inlineStr">
        <is>
          <t>T2310</t>
        </is>
      </c>
      <c r="I224" s="41" t="inlineStr">
        <is>
          <t>Pcs</t>
        </is>
      </c>
    </row>
    <row r="225" ht="21.25" customFormat="1" customHeight="1" s="39">
      <c r="A225" s="41" t="inlineStr">
        <is>
          <t>Armstrong 9768 Sahara</t>
        </is>
      </c>
      <c r="B225" s="41" t="inlineStr">
        <is>
          <t>T9678</t>
        </is>
      </c>
      <c r="C225" s="44" t="n">
        <v>0.8</v>
      </c>
      <c r="D225" s="42" t="n"/>
      <c r="E225" s="41" t="inlineStr">
        <is>
          <t>T9678</t>
        </is>
      </c>
      <c r="F225" s="41">
        <f>A225</f>
        <v/>
      </c>
      <c r="G225" s="42" t="n"/>
      <c r="H225" s="41" t="inlineStr">
        <is>
          <t>T9678</t>
        </is>
      </c>
      <c r="I225" s="41" t="inlineStr">
        <is>
          <t>Pcs</t>
        </is>
      </c>
    </row>
    <row r="226" ht="21.25" customFormat="1" customHeight="1" s="39">
      <c r="A226" s="41" t="inlineStr">
        <is>
          <t>DRYWALL TILE</t>
        </is>
      </c>
      <c r="B226" s="41" t="inlineStr">
        <is>
          <t>DWT</t>
        </is>
      </c>
      <c r="C226" s="44" t="n">
        <v>2.2073</v>
      </c>
      <c r="D226" s="42" t="n"/>
      <c r="E226" s="41" t="inlineStr">
        <is>
          <t>DWT</t>
        </is>
      </c>
      <c r="F226" s="41">
        <f>A226</f>
        <v/>
      </c>
      <c r="G226" s="42" t="n"/>
      <c r="H226" s="41" t="inlineStr">
        <is>
          <t>DWT</t>
        </is>
      </c>
      <c r="I226" s="41" t="inlineStr">
        <is>
          <t>Pcs</t>
        </is>
      </c>
    </row>
    <row r="227" ht="21.25" customFormat="1" customHeight="1" s="39">
      <c r="A227" s="41" t="inlineStr">
        <is>
          <t>Rocfon Sonar #16101</t>
        </is>
      </c>
      <c r="B227" s="41" t="inlineStr">
        <is>
          <t>t16101</t>
        </is>
      </c>
      <c r="C227" s="44" t="n">
        <v>3.165</v>
      </c>
      <c r="D227" s="42" t="n"/>
      <c r="E227" s="41" t="inlineStr">
        <is>
          <t>t16101</t>
        </is>
      </c>
      <c r="F227" s="41">
        <f>A227</f>
        <v/>
      </c>
      <c r="G227" s="42" t="n"/>
      <c r="H227" s="41" t="inlineStr">
        <is>
          <t>t16101</t>
        </is>
      </c>
      <c r="I227" s="41" t="inlineStr">
        <is>
          <t>Pcs</t>
        </is>
      </c>
    </row>
    <row r="228" ht="21.25" customFormat="1" customHeight="1" s="39">
      <c r="A228" s="41" t="inlineStr">
        <is>
          <t>Rocfon Pacifc #201</t>
        </is>
      </c>
      <c r="B228" s="41" t="inlineStr">
        <is>
          <t>t201</t>
        </is>
      </c>
      <c r="C228" s="44" t="n">
        <v>0.6899999999999999</v>
      </c>
      <c r="D228" s="42" t="n"/>
      <c r="E228" s="41" t="inlineStr">
        <is>
          <t>t201</t>
        </is>
      </c>
      <c r="F228" s="41">
        <f>A228</f>
        <v/>
      </c>
      <c r="G228" s="42" t="n"/>
      <c r="H228" s="41" t="inlineStr">
        <is>
          <t>t201</t>
        </is>
      </c>
      <c r="I228" s="41" t="inlineStr">
        <is>
          <t>Pcs</t>
        </is>
      </c>
    </row>
    <row r="229" ht="21.25" customFormat="1" customHeight="1" s="39">
      <c r="A229" s="47" t="inlineStr">
        <is>
          <t>Rocfon Artic #601</t>
        </is>
      </c>
      <c r="B229" s="41" t="inlineStr">
        <is>
          <t>t601</t>
        </is>
      </c>
      <c r="C229" s="44" t="n">
        <v>1.2</v>
      </c>
      <c r="D229" s="42" t="n"/>
      <c r="E229" s="41" t="inlineStr">
        <is>
          <t>t601</t>
        </is>
      </c>
      <c r="F229" s="41">
        <f>A229</f>
        <v/>
      </c>
      <c r="G229" s="42" t="n"/>
      <c r="H229" s="41" t="inlineStr">
        <is>
          <t>t601</t>
        </is>
      </c>
      <c r="I229" s="41" t="inlineStr">
        <is>
          <t>Pcs</t>
        </is>
      </c>
    </row>
    <row r="230" ht="21.25" customFormat="1" customHeight="1" s="39">
      <c r="A230" s="47" t="inlineStr">
        <is>
          <t>Rocfon Koral #1101</t>
        </is>
      </c>
      <c r="B230" s="41" t="inlineStr">
        <is>
          <t>t1101</t>
        </is>
      </c>
      <c r="C230" s="44" t="n">
        <v>1.995</v>
      </c>
      <c r="D230" s="42" t="n"/>
      <c r="E230" s="41" t="inlineStr">
        <is>
          <t>t1101</t>
        </is>
      </c>
      <c r="F230" s="41">
        <f>A230</f>
        <v/>
      </c>
      <c r="G230" s="42" t="n"/>
      <c r="H230" s="41" t="inlineStr">
        <is>
          <t>t1101</t>
        </is>
      </c>
      <c r="I230" s="41" t="inlineStr">
        <is>
          <t>Pcs</t>
        </is>
      </c>
    </row>
    <row r="231" ht="21.25" customFormat="1" customHeight="1" s="39">
      <c r="A231" s="41" t="inlineStr">
        <is>
          <t xml:space="preserve">Ceiling Tile </t>
        </is>
      </c>
      <c r="B231" s="41" t="inlineStr">
        <is>
          <t>ct</t>
        </is>
      </c>
      <c r="C231" s="44" t="n">
        <v>1.1396</v>
      </c>
      <c r="D231" s="42" t="n"/>
      <c r="E231" s="41" t="inlineStr">
        <is>
          <t>t197</t>
        </is>
      </c>
      <c r="F231" s="41">
        <f>A231</f>
        <v/>
      </c>
      <c r="G231" s="42" t="n"/>
      <c r="H231" s="41" t="inlineStr">
        <is>
          <t>t197</t>
        </is>
      </c>
      <c r="I231" s="41" t="inlineStr">
        <is>
          <t>Pcs</t>
        </is>
      </c>
    </row>
    <row r="232" ht="21.25" customFormat="1" customHeight="1" s="39">
      <c r="A232" s="41" t="inlineStr">
        <is>
          <t>Symphony F foil back 1340</t>
        </is>
      </c>
      <c r="B232" s="41" t="inlineStr">
        <is>
          <t>t1340</t>
        </is>
      </c>
      <c r="C232" s="44" t="n">
        <v>3.058</v>
      </c>
      <c r="D232" s="42" t="n"/>
      <c r="E232" s="41" t="inlineStr">
        <is>
          <t>t1340</t>
        </is>
      </c>
      <c r="F232" s="41">
        <f>A232</f>
        <v/>
      </c>
      <c r="G232" s="42" t="n"/>
      <c r="H232" s="41" t="inlineStr">
        <is>
          <t>t1340</t>
        </is>
      </c>
      <c r="I232" s="41" t="inlineStr">
        <is>
          <t>Pcs</t>
        </is>
      </c>
    </row>
    <row r="233" ht="21.25" customFormat="1" customHeight="1" s="39">
      <c r="A233" s="41" t="inlineStr">
        <is>
          <t>Cashmere 224</t>
        </is>
      </c>
      <c r="B233" s="41" t="inlineStr">
        <is>
          <t>t224</t>
        </is>
      </c>
      <c r="C233" s="44" t="n">
        <v>2.206</v>
      </c>
      <c r="D233" s="42" t="n"/>
      <c r="E233" s="41" t="inlineStr">
        <is>
          <t>t224</t>
        </is>
      </c>
      <c r="F233" s="41">
        <f>A233</f>
        <v/>
      </c>
      <c r="G233" s="42" t="n"/>
      <c r="H233" s="41" t="inlineStr">
        <is>
          <t>t224</t>
        </is>
      </c>
      <c r="I233" s="41" t="inlineStr">
        <is>
          <t>Pcs</t>
        </is>
      </c>
    </row>
    <row r="234" ht="21.25" customFormat="1" customHeight="1" s="39">
      <c r="A234" s="41" t="inlineStr">
        <is>
          <t>CertainTeed BET 197</t>
        </is>
      </c>
      <c r="B234" s="41" t="inlineStr">
        <is>
          <t>bet197</t>
        </is>
      </c>
      <c r="C234" s="44" t="n">
        <v>0.669</v>
      </c>
      <c r="D234" s="42" t="n"/>
      <c r="E234" s="41" t="inlineStr">
        <is>
          <t>bet197</t>
        </is>
      </c>
      <c r="F234" s="41">
        <f>A234</f>
        <v/>
      </c>
      <c r="G234" s="42" t="n"/>
      <c r="H234" s="41" t="inlineStr">
        <is>
          <t>bet197</t>
        </is>
      </c>
      <c r="I234" s="41" t="inlineStr">
        <is>
          <t>Pcs</t>
        </is>
      </c>
    </row>
    <row r="235" ht="21.25" customFormat="1" customHeight="1" s="39">
      <c r="A235" s="42" t="n"/>
      <c r="B235" s="42" t="n"/>
      <c r="C235" s="42" t="n"/>
      <c r="D235" s="42" t="n"/>
      <c r="E235" s="42" t="n"/>
      <c r="F235" s="41">
        <f>A235</f>
        <v/>
      </c>
      <c r="G235" s="42" t="n"/>
      <c r="H235" s="42" t="n"/>
      <c r="I235" s="42" t="n"/>
    </row>
    <row r="236" ht="21.25" customFormat="1" customHeight="1" s="39">
      <c r="A236" s="46" t="inlineStr">
        <is>
          <t>Tie Wire</t>
        </is>
      </c>
      <c r="B236" s="41" t="inlineStr">
        <is>
          <t>Tw</t>
        </is>
      </c>
      <c r="C236" s="42" t="n">
        <v>0.2</v>
      </c>
      <c r="D236" s="42" t="n"/>
      <c r="E236" s="41" t="inlineStr">
        <is>
          <t>Tw</t>
        </is>
      </c>
      <c r="F236" s="41">
        <f>A236</f>
        <v/>
      </c>
      <c r="G236" s="42" t="n"/>
      <c r="H236" s="41" t="inlineStr">
        <is>
          <t>Tw</t>
        </is>
      </c>
      <c r="I236" s="41" t="inlineStr">
        <is>
          <t>Tw</t>
        </is>
      </c>
    </row>
    <row r="237" ht="21.25" customFormat="1" customHeight="1" s="39">
      <c r="A237" s="46" t="n"/>
      <c r="B237" s="41" t="n"/>
      <c r="C237" s="42" t="n"/>
      <c r="D237" s="42" t="n"/>
      <c r="E237" s="41" t="n"/>
      <c r="F237" s="41">
        <f>A237</f>
        <v/>
      </c>
      <c r="G237" s="42" t="n"/>
      <c r="H237" s="41" t="n"/>
      <c r="I237" s="41" t="n"/>
    </row>
    <row r="238" ht="21.25" customFormat="1" customHeight="1" s="39">
      <c r="A238" s="46" t="inlineStr">
        <is>
          <t>Lags</t>
        </is>
      </c>
      <c r="B238" s="41" t="inlineStr">
        <is>
          <t>Lag</t>
        </is>
      </c>
      <c r="C238" s="42" t="n">
        <v>0.25</v>
      </c>
      <c r="D238" s="42" t="n"/>
      <c r="E238" s="41" t="inlineStr">
        <is>
          <t>Lag</t>
        </is>
      </c>
      <c r="F238" s="41">
        <f>A238</f>
        <v/>
      </c>
      <c r="G238" s="42" t="n"/>
      <c r="H238" s="41" t="inlineStr">
        <is>
          <t>Lag</t>
        </is>
      </c>
      <c r="I238" s="41" t="inlineStr">
        <is>
          <t>Pcs</t>
        </is>
      </c>
    </row>
    <row r="239" ht="21.25" customFormat="1" customHeight="1" s="39">
      <c r="A239" s="46" t="inlineStr">
        <is>
          <t>Revo Clip</t>
        </is>
      </c>
      <c r="B239" s="41" t="inlineStr">
        <is>
          <t>Revo</t>
        </is>
      </c>
      <c r="C239" s="42" t="n">
        <v>0.6</v>
      </c>
      <c r="D239" s="42" t="n"/>
      <c r="E239" s="41" t="inlineStr">
        <is>
          <t>Revo</t>
        </is>
      </c>
      <c r="F239" s="41">
        <f>A239</f>
        <v/>
      </c>
      <c r="G239" s="42" t="n"/>
      <c r="H239" s="41" t="inlineStr">
        <is>
          <t>Revo</t>
        </is>
      </c>
      <c r="I239" s="41" t="inlineStr">
        <is>
          <t>Pcs</t>
        </is>
      </c>
    </row>
    <row r="240" ht="21.25" customFormat="1" customHeight="1" s="39">
      <c r="A240" s="41" t="inlineStr">
        <is>
          <t>Tegular Revo Clip</t>
        </is>
      </c>
      <c r="B240" s="41" t="inlineStr">
        <is>
          <t>Trevo</t>
        </is>
      </c>
      <c r="C240" s="44" t="n">
        <v>0.6</v>
      </c>
      <c r="D240" s="42" t="n"/>
      <c r="E240" s="41" t="inlineStr">
        <is>
          <t>Trevo</t>
        </is>
      </c>
      <c r="F240" s="41">
        <f>A240</f>
        <v/>
      </c>
      <c r="G240" s="42" t="n"/>
      <c r="H240" s="41" t="inlineStr">
        <is>
          <t>Trevo</t>
        </is>
      </c>
      <c r="I240" s="41" t="inlineStr">
        <is>
          <t>Pcs</t>
        </is>
      </c>
    </row>
    <row r="241" ht="21.25" customFormat="1" customHeight="1" s="39">
      <c r="A241" s="41" t="inlineStr">
        <is>
          <t>Acoustic Clips</t>
        </is>
      </c>
      <c r="B241" s="41" t="inlineStr">
        <is>
          <t>acp</t>
        </is>
      </c>
      <c r="C241" s="44" t="n">
        <v>5</v>
      </c>
      <c r="D241" s="42" t="n"/>
      <c r="E241" s="41" t="inlineStr">
        <is>
          <t>acp</t>
        </is>
      </c>
      <c r="F241" s="41">
        <f>A241</f>
        <v/>
      </c>
      <c r="G241" s="42" t="n"/>
      <c r="H241" s="41" t="inlineStr">
        <is>
          <t>acp</t>
        </is>
      </c>
      <c r="I241" s="41" t="inlineStr">
        <is>
          <t>Pcs</t>
        </is>
      </c>
    </row>
    <row r="242" ht="21.25" customFormat="1" customHeight="1" s="39">
      <c r="A242" s="41" t="inlineStr">
        <is>
          <t>1 1/4” Fine Thread DW Screws</t>
        </is>
      </c>
      <c r="B242" s="41" t="inlineStr">
        <is>
          <t>114ft</t>
        </is>
      </c>
      <c r="C242" s="44" t="n">
        <v>71.66</v>
      </c>
      <c r="D242" s="42" t="n"/>
      <c r="E242" s="41" t="inlineStr">
        <is>
          <t>114ft</t>
        </is>
      </c>
      <c r="F242" s="41">
        <f>A242</f>
        <v/>
      </c>
      <c r="G242" s="42" t="n"/>
      <c r="H242" s="41" t="inlineStr">
        <is>
          <t>114ft</t>
        </is>
      </c>
      <c r="I242" s="41" t="inlineStr">
        <is>
          <t>Boxes</t>
        </is>
      </c>
    </row>
    <row r="243" ht="20.9" customFormat="1" customHeight="1" s="39">
      <c r="A243" s="46" t="inlineStr">
        <is>
          <t>1 5/8” Fine Thread DW Screws</t>
        </is>
      </c>
      <c r="B243" s="41" t="inlineStr">
        <is>
          <t>158ft</t>
        </is>
      </c>
      <c r="C243" s="44" t="n">
        <v>82.77</v>
      </c>
      <c r="D243" s="42" t="n"/>
      <c r="E243" s="41" t="inlineStr">
        <is>
          <t>158ft</t>
        </is>
      </c>
      <c r="F243" s="41">
        <f>A243</f>
        <v/>
      </c>
      <c r="G243" s="42" t="n"/>
      <c r="H243" s="41" t="inlineStr">
        <is>
          <t>158ft</t>
        </is>
      </c>
      <c r="I243" s="41" t="inlineStr">
        <is>
          <t>Boxes</t>
        </is>
      </c>
    </row>
    <row r="244" ht="20.5" customFormat="1" customHeight="1" s="39">
      <c r="A244" s="46" t="inlineStr">
        <is>
          <t>2” Fine Thread DW Screws</t>
        </is>
      </c>
      <c r="B244" s="41" t="inlineStr">
        <is>
          <t>2ft</t>
        </is>
      </c>
      <c r="C244" s="44" t="n">
        <v>54.4</v>
      </c>
      <c r="D244" s="42" t="n"/>
      <c r="E244" s="41" t="inlineStr">
        <is>
          <t>2ft</t>
        </is>
      </c>
      <c r="F244" s="41">
        <f>A244</f>
        <v/>
      </c>
      <c r="G244" s="42" t="n"/>
      <c r="H244" s="41" t="inlineStr">
        <is>
          <t>2ft</t>
        </is>
      </c>
      <c r="I244" s="41" t="inlineStr">
        <is>
          <t>Boxes</t>
        </is>
      </c>
    </row>
    <row r="245" ht="20.5" customFormat="1" customHeight="1" s="39">
      <c r="A245" s="46" t="inlineStr">
        <is>
          <t>1 1/4” Self Tapping DW Screws</t>
        </is>
      </c>
      <c r="B245" s="41" t="inlineStr">
        <is>
          <t>114st</t>
        </is>
      </c>
      <c r="C245" s="44" t="n">
        <v>134.7</v>
      </c>
      <c r="D245" s="42" t="n"/>
      <c r="E245" s="41" t="inlineStr">
        <is>
          <t>114st</t>
        </is>
      </c>
      <c r="F245" s="41">
        <f>A245</f>
        <v/>
      </c>
      <c r="G245" s="42" t="n"/>
      <c r="H245" s="41" t="inlineStr">
        <is>
          <t>114st</t>
        </is>
      </c>
      <c r="I245" s="41" t="inlineStr">
        <is>
          <t>Boxes</t>
        </is>
      </c>
    </row>
    <row r="246" ht="20.5" customFormat="1" customHeight="1" s="39">
      <c r="A246" s="46" t="inlineStr">
        <is>
          <t>1 5/8” Self Tapping DW Screws</t>
        </is>
      </c>
      <c r="B246" s="41" t="inlineStr">
        <is>
          <t>158st</t>
        </is>
      </c>
      <c r="C246" s="44" t="n">
        <v>106.86</v>
      </c>
      <c r="D246" s="42" t="n"/>
      <c r="E246" s="41" t="inlineStr">
        <is>
          <t>158st</t>
        </is>
      </c>
      <c r="F246" s="41">
        <f>A246</f>
        <v/>
      </c>
      <c r="G246" s="42" t="n"/>
      <c r="H246" s="41" t="inlineStr">
        <is>
          <t>158st</t>
        </is>
      </c>
      <c r="I246" s="41" t="inlineStr">
        <is>
          <t>Boxes</t>
        </is>
      </c>
    </row>
    <row r="247" ht="20.5" customFormat="1" customHeight="1" s="39">
      <c r="A247" s="41" t="inlineStr">
        <is>
          <t>2” Fine Self Tapping Screws</t>
        </is>
      </c>
      <c r="B247" s="41" t="inlineStr">
        <is>
          <t>2st</t>
        </is>
      </c>
      <c r="C247" s="44" t="n">
        <v>94.81999999999999</v>
      </c>
      <c r="D247" s="42" t="n"/>
      <c r="E247" s="41" t="inlineStr">
        <is>
          <t>2st</t>
        </is>
      </c>
      <c r="F247" s="41">
        <f>A247</f>
        <v/>
      </c>
      <c r="G247" s="42" t="n"/>
      <c r="H247" s="41" t="inlineStr">
        <is>
          <t>2st</t>
        </is>
      </c>
      <c r="I247" s="41" t="inlineStr">
        <is>
          <t>Boxes</t>
        </is>
      </c>
    </row>
    <row r="248" ht="20.5" customFormat="1" customHeight="1" s="39">
      <c r="A248" s="46" t="inlineStr">
        <is>
          <t>1 1/2” Laminating Screws</t>
        </is>
      </c>
      <c r="B248" s="41" t="inlineStr">
        <is>
          <t>112ls</t>
        </is>
      </c>
      <c r="C248" s="44" t="n">
        <v>152.86</v>
      </c>
      <c r="D248" s="42" t="n"/>
      <c r="E248" s="41" t="inlineStr">
        <is>
          <t>112ls</t>
        </is>
      </c>
      <c r="F248" s="41">
        <f>A248</f>
        <v/>
      </c>
      <c r="G248" s="42" t="n"/>
      <c r="H248" s="41" t="inlineStr">
        <is>
          <t>112ls</t>
        </is>
      </c>
      <c r="I248" s="41" t="inlineStr">
        <is>
          <t>Boxes</t>
        </is>
      </c>
    </row>
    <row r="249" ht="20.5" customFormat="1" customHeight="1" s="39">
      <c r="A249" s="41" t="inlineStr">
        <is>
          <t xml:space="preserve">Wafers </t>
        </is>
      </c>
      <c r="B249" s="41" t="inlineStr">
        <is>
          <t>waf</t>
        </is>
      </c>
      <c r="C249" s="42" t="n">
        <v>118.85</v>
      </c>
      <c r="D249" s="42" t="n"/>
      <c r="E249" s="41" t="inlineStr">
        <is>
          <t>waf</t>
        </is>
      </c>
      <c r="F249" s="41">
        <f>A249</f>
        <v/>
      </c>
      <c r="G249" s="42" t="n"/>
      <c r="H249" s="41" t="inlineStr">
        <is>
          <t>waf</t>
        </is>
      </c>
      <c r="I249" s="41" t="inlineStr">
        <is>
          <t>Boxes</t>
        </is>
      </c>
    </row>
    <row r="250" ht="20.5" customFormat="1" customHeight="1" s="39">
      <c r="A250" s="46" t="inlineStr">
        <is>
          <t>Self Tapping Wafers</t>
        </is>
      </c>
      <c r="B250" s="41" t="inlineStr">
        <is>
          <t>stw</t>
        </is>
      </c>
      <c r="C250" s="44" t="n">
        <v>132.25</v>
      </c>
      <c r="D250" s="42" t="n"/>
      <c r="E250" s="41" t="inlineStr">
        <is>
          <t>stw</t>
        </is>
      </c>
      <c r="F250" s="41">
        <f>A250</f>
        <v/>
      </c>
      <c r="G250" s="42" t="n"/>
      <c r="H250" s="41" t="inlineStr">
        <is>
          <t>stw</t>
        </is>
      </c>
      <c r="I250" s="41" t="inlineStr">
        <is>
          <t>Boxes</t>
        </is>
      </c>
    </row>
    <row r="251" ht="20.5" customFormat="1" customHeight="1" s="39">
      <c r="A251" s="46" t="n"/>
      <c r="B251" s="41" t="n"/>
      <c r="C251" s="44" t="n"/>
      <c r="D251" s="42" t="n"/>
      <c r="E251" s="41" t="n"/>
      <c r="F251" s="41">
        <f>A251</f>
        <v/>
      </c>
      <c r="G251" s="42" t="n"/>
      <c r="H251" s="41" t="n"/>
      <c r="I251" s="41" t="n"/>
    </row>
    <row r="252" ht="20.5" customFormat="1" customHeight="1" s="39">
      <c r="A252" s="46" t="inlineStr">
        <is>
          <t>4800DW Firestop Sealant 850 ML</t>
        </is>
      </c>
      <c r="B252" s="41" t="inlineStr">
        <is>
          <t>fs</t>
        </is>
      </c>
      <c r="C252" s="44" t="n">
        <v>17.85</v>
      </c>
      <c r="D252" s="42" t="n"/>
      <c r="E252" s="41" t="inlineStr">
        <is>
          <t>fs</t>
        </is>
      </c>
      <c r="F252" s="41">
        <f>A252</f>
        <v/>
      </c>
      <c r="G252" s="42" t="n"/>
      <c r="H252" s="41" t="inlineStr">
        <is>
          <t>fs</t>
        </is>
      </c>
      <c r="I252" s="41" t="inlineStr">
        <is>
          <t>Tubes</t>
        </is>
      </c>
    </row>
    <row r="253" ht="20.5" customFormat="1" customHeight="1" s="39">
      <c r="A253" s="41" t="inlineStr">
        <is>
          <t xml:space="preserve">Hilti 506 </t>
        </is>
      </c>
      <c r="B253" s="41" t="inlineStr">
        <is>
          <t>H506</t>
        </is>
      </c>
      <c r="C253" s="44" t="n">
        <v>0.15</v>
      </c>
      <c r="D253" s="42" t="n"/>
      <c r="E253" s="41" t="inlineStr">
        <is>
          <t>H506</t>
        </is>
      </c>
      <c r="F253" s="41">
        <f>A253</f>
        <v/>
      </c>
      <c r="G253" s="42" t="n"/>
      <c r="H253" s="41" t="inlineStr">
        <is>
          <t>H506</t>
        </is>
      </c>
      <c r="I253" s="41" t="inlineStr">
        <is>
          <t>Tubes</t>
        </is>
      </c>
    </row>
    <row r="254" ht="20.5" customFormat="1" customHeight="1" s="39">
      <c r="A254" s="41" t="inlineStr">
        <is>
          <t>Hilti 606</t>
        </is>
      </c>
      <c r="B254" s="41" t="inlineStr">
        <is>
          <t>H606</t>
        </is>
      </c>
      <c r="C254" s="44" t="n">
        <v>0.3</v>
      </c>
      <c r="D254" s="42" t="n"/>
      <c r="E254" s="41" t="inlineStr">
        <is>
          <t>H606</t>
        </is>
      </c>
      <c r="F254" s="41">
        <f>A254</f>
        <v/>
      </c>
      <c r="G254" s="42" t="n"/>
      <c r="H254" s="41" t="inlineStr">
        <is>
          <t>H606</t>
        </is>
      </c>
      <c r="I254" s="41" t="inlineStr">
        <is>
          <t>Tubes</t>
        </is>
      </c>
    </row>
    <row r="255" ht="20.5" customFormat="1" customHeight="1" s="39">
      <c r="A255" s="41" t="inlineStr">
        <is>
          <t>Acoustical Sealant 850 ML</t>
        </is>
      </c>
      <c r="B255" s="41" t="inlineStr">
        <is>
          <t>as</t>
        </is>
      </c>
      <c r="C255" s="44" t="n">
        <v>8.1</v>
      </c>
      <c r="D255" s="42" t="n"/>
      <c r="E255" s="41" t="inlineStr">
        <is>
          <t>as</t>
        </is>
      </c>
      <c r="F255" s="41">
        <f>A255</f>
        <v/>
      </c>
      <c r="G255" s="42" t="n"/>
      <c r="H255" s="41" t="inlineStr">
        <is>
          <t>as</t>
        </is>
      </c>
      <c r="I255" s="41" t="inlineStr">
        <is>
          <t>Tubes</t>
        </is>
      </c>
    </row>
    <row r="256" ht="20.5" customFormat="1" customHeight="1" s="39">
      <c r="A256" s="41" t="inlineStr">
        <is>
          <t>PL Premium Adhesive 825 ML</t>
        </is>
      </c>
      <c r="B256" s="42" t="inlineStr">
        <is>
          <t>pl</t>
        </is>
      </c>
      <c r="C256" s="42" t="n">
        <v>17.7</v>
      </c>
      <c r="D256" s="42" t="n"/>
      <c r="E256" s="42" t="inlineStr">
        <is>
          <t>pl</t>
        </is>
      </c>
      <c r="F256" s="41">
        <f>A256</f>
        <v/>
      </c>
      <c r="G256" s="42" t="n"/>
      <c r="H256" s="42" t="inlineStr">
        <is>
          <t>pl</t>
        </is>
      </c>
      <c r="I256" s="42" t="inlineStr">
        <is>
          <t>Cans</t>
        </is>
      </c>
    </row>
    <row r="257" ht="20.5" customFormat="1" customHeight="1" s="39">
      <c r="A257" s="41" t="inlineStr">
        <is>
          <t>3M Super 77 Spray Glue</t>
        </is>
      </c>
      <c r="B257" s="42" t="inlineStr">
        <is>
          <t>sg</t>
        </is>
      </c>
      <c r="C257" s="42" t="n">
        <v>15.5</v>
      </c>
      <c r="D257" s="42" t="n"/>
      <c r="E257" s="42" t="inlineStr">
        <is>
          <t>sg</t>
        </is>
      </c>
      <c r="F257" s="41">
        <f>A257</f>
        <v/>
      </c>
      <c r="G257" s="42" t="n"/>
      <c r="H257" s="42" t="inlineStr">
        <is>
          <t>sg</t>
        </is>
      </c>
      <c r="I257" s="42" t="inlineStr">
        <is>
          <t>Cans</t>
        </is>
      </c>
    </row>
    <row r="258" ht="20.5" customFormat="1" customHeight="1" s="39">
      <c r="A258" s="41" t="n"/>
      <c r="B258" s="42" t="n"/>
      <c r="C258" s="42" t="n"/>
      <c r="D258" s="42" t="n"/>
      <c r="E258" s="42" t="n"/>
      <c r="F258" s="41">
        <f>A258</f>
        <v/>
      </c>
      <c r="G258" s="42" t="n"/>
      <c r="H258" s="42" t="n"/>
      <c r="I258" s="42" t="n"/>
    </row>
    <row r="259" ht="20.5" customFormat="1" customHeight="1" s="39">
      <c r="A259" s="41" t="n"/>
      <c r="B259" s="42" t="n"/>
      <c r="C259" s="42" t="n"/>
      <c r="D259" s="42" t="n"/>
      <c r="E259" s="42" t="n"/>
      <c r="F259" s="41">
        <f>A259</f>
        <v/>
      </c>
      <c r="G259" s="42" t="n"/>
      <c r="H259" s="42" t="n"/>
      <c r="I259" s="42" t="n"/>
    </row>
    <row r="260" ht="20.5" customFormat="1" customHeight="1" s="39">
      <c r="A260" s="41" t="inlineStr">
        <is>
          <t>VGH Labour</t>
        </is>
      </c>
      <c r="B260" s="42" t="inlineStr">
        <is>
          <t>vghl</t>
        </is>
      </c>
      <c r="C260" s="42" t="n">
        <v>80</v>
      </c>
      <c r="D260" s="42" t="n"/>
      <c r="E260" s="42" t="inlineStr">
        <is>
          <t>VGHL</t>
        </is>
      </c>
      <c r="F260" s="41">
        <f>A260</f>
        <v/>
      </c>
      <c r="G260" s="42" t="n"/>
      <c r="H260" s="42" t="inlineStr">
        <is>
          <t>VGHL</t>
        </is>
      </c>
      <c r="I260" s="42" t="inlineStr">
        <is>
          <t>Hrs</t>
        </is>
      </c>
    </row>
    <row r="261" ht="20.5" customFormat="1" customHeight="1" s="39">
      <c r="A261" s="41" t="inlineStr">
        <is>
          <t>Framing Labour</t>
        </is>
      </c>
      <c r="B261" s="42" t="inlineStr">
        <is>
          <t>FL</t>
        </is>
      </c>
      <c r="C261" s="42" t="n">
        <v>80</v>
      </c>
      <c r="D261" s="42" t="n"/>
      <c r="E261" s="42" t="inlineStr">
        <is>
          <t>FL</t>
        </is>
      </c>
      <c r="F261" s="41">
        <f>A261</f>
        <v/>
      </c>
      <c r="G261" s="42" t="n"/>
      <c r="H261" s="42" t="inlineStr">
        <is>
          <t>FL</t>
        </is>
      </c>
      <c r="I261" s="42" t="inlineStr">
        <is>
          <t>Hrs</t>
        </is>
      </c>
    </row>
    <row r="262" ht="20.5" customFormat="1" customHeight="1" s="39">
      <c r="A262" s="41" t="inlineStr">
        <is>
          <t>Insulation Labour</t>
        </is>
      </c>
      <c r="B262" s="42" t="inlineStr">
        <is>
          <t>IL</t>
        </is>
      </c>
      <c r="C262" s="42" t="n">
        <v>80</v>
      </c>
      <c r="D262" s="42" t="n"/>
      <c r="E262" s="42" t="inlineStr">
        <is>
          <t>IL</t>
        </is>
      </c>
      <c r="F262" s="41">
        <f>A262</f>
        <v/>
      </c>
      <c r="G262" s="42" t="n"/>
      <c r="H262" s="42" t="inlineStr">
        <is>
          <t>IL</t>
        </is>
      </c>
      <c r="I262" s="42" t="inlineStr">
        <is>
          <t>Hrs</t>
        </is>
      </c>
    </row>
    <row r="263" ht="20.5" customFormat="1" customHeight="1" s="39">
      <c r="A263" s="41" t="inlineStr">
        <is>
          <t>Drywall Labour</t>
        </is>
      </c>
      <c r="B263" s="42" t="inlineStr">
        <is>
          <t>DL</t>
        </is>
      </c>
      <c r="C263" s="42" t="n">
        <v>80</v>
      </c>
      <c r="D263" s="42" t="n"/>
      <c r="E263" s="42" t="inlineStr">
        <is>
          <t>DL</t>
        </is>
      </c>
      <c r="F263" s="41">
        <f>A263</f>
        <v/>
      </c>
      <c r="G263" s="42" t="n"/>
      <c r="H263" s="42" t="inlineStr">
        <is>
          <t>DL</t>
        </is>
      </c>
      <c r="I263" s="42" t="inlineStr">
        <is>
          <t>Hrs</t>
        </is>
      </c>
    </row>
    <row r="264" ht="20.5" customFormat="1" customHeight="1" s="39">
      <c r="A264" s="41" t="inlineStr">
        <is>
          <t>Taping Labour</t>
        </is>
      </c>
      <c r="B264" s="42" t="inlineStr">
        <is>
          <t>TL</t>
        </is>
      </c>
      <c r="C264" s="42" t="n">
        <v>80</v>
      </c>
      <c r="D264" s="42" t="n"/>
      <c r="E264" s="42" t="inlineStr">
        <is>
          <t>TL</t>
        </is>
      </c>
      <c r="F264" s="41">
        <f>A264</f>
        <v/>
      </c>
      <c r="G264" s="42" t="n"/>
      <c r="H264" s="42" t="inlineStr">
        <is>
          <t>TL</t>
        </is>
      </c>
      <c r="I264" s="42" t="inlineStr">
        <is>
          <t>Hrs</t>
        </is>
      </c>
    </row>
    <row r="265" ht="20.5" customFormat="1" customHeight="1" s="39">
      <c r="A265" s="41" t="inlineStr">
        <is>
          <t>Acoustic Ceiling Labour</t>
        </is>
      </c>
      <c r="B265" s="42" t="inlineStr">
        <is>
          <t>ACL</t>
        </is>
      </c>
      <c r="C265" s="42" t="n">
        <v>80</v>
      </c>
      <c r="D265" s="42" t="n"/>
      <c r="E265" s="42" t="inlineStr">
        <is>
          <t>ACL</t>
        </is>
      </c>
      <c r="F265" s="41">
        <f>A265</f>
        <v/>
      </c>
      <c r="G265" s="42" t="n"/>
      <c r="H265" s="42" t="inlineStr">
        <is>
          <t>ACL</t>
        </is>
      </c>
      <c r="I265" s="42" t="inlineStr">
        <is>
          <t>Hrs</t>
        </is>
      </c>
    </row>
    <row r="266" ht="20.5" customFormat="1" customHeight="1" s="39">
      <c r="A266" s="41" t="inlineStr">
        <is>
          <t>Clean Up</t>
        </is>
      </c>
      <c r="B266" s="42" t="inlineStr">
        <is>
          <t>CU</t>
        </is>
      </c>
      <c r="C266" s="42" t="n">
        <v>80</v>
      </c>
      <c r="D266" s="42" t="n"/>
      <c r="E266" s="42" t="inlineStr">
        <is>
          <t>CU</t>
        </is>
      </c>
      <c r="F266" s="41">
        <f>A266</f>
        <v/>
      </c>
      <c r="G266" s="42" t="n"/>
      <c r="H266" s="42" t="inlineStr">
        <is>
          <t>CU</t>
        </is>
      </c>
      <c r="I266" s="42" t="inlineStr">
        <is>
          <t>Hrs</t>
        </is>
      </c>
    </row>
    <row r="267" ht="20.5" customFormat="1" customHeight="1" s="39">
      <c r="A267" s="41" t="inlineStr">
        <is>
          <t>Supervision</t>
        </is>
      </c>
      <c r="B267" s="42" t="inlineStr">
        <is>
          <t>S</t>
        </is>
      </c>
      <c r="C267" s="42" t="n">
        <v>80</v>
      </c>
      <c r="D267" s="42" t="n"/>
      <c r="E267" s="42" t="inlineStr">
        <is>
          <t>S</t>
        </is>
      </c>
      <c r="F267" s="41">
        <f>A267</f>
        <v/>
      </c>
      <c r="G267" s="42" t="n"/>
      <c r="H267" s="42" t="inlineStr">
        <is>
          <t>S</t>
        </is>
      </c>
      <c r="I267" s="42" t="inlineStr">
        <is>
          <t>Hrs</t>
        </is>
      </c>
    </row>
    <row r="268" ht="20.5" customFormat="1" customHeight="1" s="39">
      <c r="A268" s="41" t="inlineStr">
        <is>
          <t xml:space="preserve">Demo Labour </t>
        </is>
      </c>
      <c r="B268" s="42" t="inlineStr">
        <is>
          <t>Demo</t>
        </is>
      </c>
      <c r="C268" s="42" t="n">
        <v>60</v>
      </c>
      <c r="D268" s="42" t="n"/>
      <c r="E268" s="42" t="inlineStr">
        <is>
          <t>Demo</t>
        </is>
      </c>
      <c r="F268" s="41">
        <f>A268</f>
        <v/>
      </c>
      <c r="G268" s="42" t="n"/>
      <c r="H268" s="42" t="inlineStr">
        <is>
          <t>Demo</t>
        </is>
      </c>
      <c r="I268" s="42" t="inlineStr">
        <is>
          <t>Hrs</t>
        </is>
      </c>
    </row>
    <row r="269" ht="20.5" customFormat="1" customHeight="1" s="39">
      <c r="A269" s="41" t="n"/>
      <c r="B269" s="42" t="n"/>
      <c r="C269" s="42" t="n"/>
      <c r="D269" s="42" t="n"/>
      <c r="E269" s="42" t="n">
        <v>0</v>
      </c>
      <c r="F269" s="41">
        <f>A269</f>
        <v/>
      </c>
      <c r="G269" s="42" t="n"/>
      <c r="H269" s="42" t="n">
        <v>0</v>
      </c>
      <c r="I269" s="42" t="n">
        <v>1</v>
      </c>
    </row>
    <row r="270" ht="20.5" customFormat="1" customHeight="1" s="39">
      <c r="A270" s="41" t="inlineStr">
        <is>
          <t>Scissor Lift</t>
        </is>
      </c>
      <c r="B270" s="42" t="inlineStr">
        <is>
          <t>SL</t>
        </is>
      </c>
      <c r="C270" s="42" t="n">
        <v>423.076923076923</v>
      </c>
      <c r="D270" s="42" t="n"/>
      <c r="E270" s="42" t="inlineStr">
        <is>
          <t>sl</t>
        </is>
      </c>
      <c r="F270" s="41">
        <f>A270</f>
        <v/>
      </c>
      <c r="G270" s="42" t="n"/>
      <c r="H270" s="42" t="inlineStr">
        <is>
          <t>sl</t>
        </is>
      </c>
      <c r="I270" s="42" t="inlineStr">
        <is>
          <t>Weeks</t>
        </is>
      </c>
    </row>
    <row r="271" ht="20.5" customFormat="1" customHeight="1" s="39">
      <c r="A271" s="41" t="inlineStr">
        <is>
          <t>Taping Material</t>
        </is>
      </c>
      <c r="B271" s="42" t="inlineStr">
        <is>
          <t>TM</t>
        </is>
      </c>
      <c r="C271" s="42" t="n">
        <v>23.0538461538462</v>
      </c>
      <c r="D271" s="42" t="n"/>
      <c r="E271" s="42" t="inlineStr">
        <is>
          <t>TM</t>
        </is>
      </c>
      <c r="F271" s="41">
        <f>A271</f>
        <v/>
      </c>
      <c r="G271" s="42" t="n"/>
      <c r="H271" s="42" t="inlineStr">
        <is>
          <t>TM</t>
        </is>
      </c>
      <c r="I271" s="42" t="inlineStr">
        <is>
          <t>-</t>
        </is>
      </c>
    </row>
    <row r="272" ht="20.5" customFormat="1" customHeight="1" s="39">
      <c r="A272" s="41" t="inlineStr">
        <is>
          <t>Disposal</t>
        </is>
      </c>
      <c r="B272" s="42" t="inlineStr">
        <is>
          <t>D</t>
        </is>
      </c>
      <c r="C272" s="42" t="n">
        <v>57.69230769230769</v>
      </c>
      <c r="D272" s="42" t="n"/>
      <c r="E272" s="42" t="inlineStr">
        <is>
          <t>D</t>
        </is>
      </c>
      <c r="F272" s="41">
        <f>A272</f>
        <v/>
      </c>
      <c r="G272" s="42" t="n"/>
      <c r="H272" s="42" t="inlineStr">
        <is>
          <t>D</t>
        </is>
      </c>
      <c r="I272" s="42" t="inlineStr">
        <is>
          <t>-</t>
        </is>
      </c>
    </row>
    <row r="273" ht="20.5" customFormat="1" customHeight="1" s="39">
      <c r="A273" s="41" t="inlineStr">
        <is>
          <t>Delivery Fee</t>
        </is>
      </c>
      <c r="B273" s="42" t="inlineStr">
        <is>
          <t>DF</t>
        </is>
      </c>
      <c r="C273" s="42">
        <f>265/1.3</f>
        <v/>
      </c>
      <c r="D273" s="42" t="n"/>
      <c r="E273" s="42" t="inlineStr">
        <is>
          <t>DF</t>
        </is>
      </c>
      <c r="F273" s="41">
        <f>A273</f>
        <v/>
      </c>
      <c r="G273" s="42" t="n"/>
      <c r="H273" s="42" t="inlineStr">
        <is>
          <t>DF</t>
        </is>
      </c>
      <c r="I273" s="42" t="inlineStr">
        <is>
          <t>-</t>
        </is>
      </c>
    </row>
    <row r="274" ht="20.5" customFormat="1" customHeight="1" s="39">
      <c r="A274" s="41" t="n"/>
      <c r="B274" s="42" t="n"/>
      <c r="C274" s="42" t="n"/>
      <c r="D274" s="42" t="n"/>
      <c r="E274" s="42" t="n">
        <v>0</v>
      </c>
      <c r="F274" s="41">
        <f>A274</f>
        <v/>
      </c>
      <c r="G274" s="42" t="n"/>
      <c r="H274" s="42" t="n">
        <v>0</v>
      </c>
      <c r="I274" s="42" t="n">
        <v>1</v>
      </c>
    </row>
    <row r="275" ht="20.5" customFormat="1" customHeight="1" s="39">
      <c r="A275" s="41" t="n"/>
      <c r="B275" s="42" t="n"/>
      <c r="C275" s="42" t="n"/>
      <c r="D275" s="42" t="n"/>
      <c r="E275" s="42" t="n">
        <v>0</v>
      </c>
      <c r="F275" s="41">
        <f>A275</f>
        <v/>
      </c>
      <c r="G275" s="42" t="n"/>
      <c r="H275" s="42" t="n">
        <v>0</v>
      </c>
      <c r="I275" s="42" t="n">
        <v>1</v>
      </c>
    </row>
    <row r="276" ht="20.5" customFormat="1" customHeight="1" s="39">
      <c r="A276" s="41" t="n"/>
      <c r="B276" s="42" t="n"/>
      <c r="C276" s="42" t="n"/>
      <c r="D276" s="42" t="n"/>
      <c r="E276" s="42" t="n">
        <v>0</v>
      </c>
      <c r="F276" s="41">
        <f>A276</f>
        <v/>
      </c>
      <c r="G276" s="42" t="n"/>
      <c r="H276" s="42" t="n">
        <v>0</v>
      </c>
      <c r="I276" s="42" t="n">
        <v>1</v>
      </c>
    </row>
    <row r="277" ht="20.5" customFormat="1" customHeight="1" s="39">
      <c r="A277" s="41" t="n"/>
      <c r="B277" s="42" t="n"/>
      <c r="C277" s="42" t="n"/>
      <c r="D277" s="42" t="n"/>
      <c r="E277" s="42" t="n">
        <v>0</v>
      </c>
      <c r="F277" s="41">
        <f>A277</f>
        <v/>
      </c>
      <c r="G277" s="42" t="n"/>
      <c r="H277" s="42" t="n">
        <v>0</v>
      </c>
      <c r="I277" s="42" t="n">
        <v>1</v>
      </c>
    </row>
    <row r="278" ht="20.5" customFormat="1" customHeight="1" s="39">
      <c r="A278" s="41" t="n"/>
      <c r="B278" s="42" t="n"/>
      <c r="C278" s="42" t="n"/>
      <c r="D278" s="42" t="n"/>
      <c r="E278" s="42" t="n">
        <v>0</v>
      </c>
      <c r="F278" s="41">
        <f>A278</f>
        <v/>
      </c>
      <c r="G278" s="42" t="n"/>
      <c r="H278" s="42" t="n">
        <v>0</v>
      </c>
      <c r="I278" s="42" t="n">
        <v>1</v>
      </c>
    </row>
    <row r="279" ht="20.5" customFormat="1" customHeight="1" s="39">
      <c r="A279" s="41" t="n"/>
      <c r="B279" s="42" t="n"/>
      <c r="C279" s="42" t="n"/>
      <c r="D279" s="42" t="n"/>
      <c r="E279" s="42" t="n">
        <v>0</v>
      </c>
      <c r="F279" s="41">
        <f>A279</f>
        <v/>
      </c>
      <c r="G279" s="42" t="n"/>
      <c r="H279" s="42" t="n">
        <v>0</v>
      </c>
      <c r="I279" s="42" t="n">
        <v>1</v>
      </c>
    </row>
    <row r="280" ht="20.5" customFormat="1" customHeight="1" s="39">
      <c r="A280" s="41" t="n"/>
      <c r="B280" s="42" t="n"/>
      <c r="C280" s="42" t="n"/>
      <c r="D280" s="42" t="n"/>
      <c r="E280" s="42" t="n">
        <v>0</v>
      </c>
      <c r="F280" s="41">
        <f>A280</f>
        <v/>
      </c>
      <c r="G280" s="42" t="n"/>
      <c r="H280" s="42" t="n">
        <v>0</v>
      </c>
      <c r="I280" s="42" t="n">
        <v>1</v>
      </c>
    </row>
    <row r="281" ht="20.5" customFormat="1" customHeight="1" s="39">
      <c r="A281" s="41" t="n"/>
      <c r="B281" s="42" t="n"/>
      <c r="C281" s="42" t="n"/>
      <c r="D281" s="42" t="n"/>
      <c r="E281" s="42" t="n">
        <v>0</v>
      </c>
      <c r="F281" s="41">
        <f>A281</f>
        <v/>
      </c>
      <c r="G281" s="42" t="n"/>
      <c r="H281" s="42" t="n">
        <v>0</v>
      </c>
      <c r="I281" s="42" t="n">
        <v>1</v>
      </c>
    </row>
    <row r="282" ht="20.5" customFormat="1" customHeight="1" s="39">
      <c r="A282" s="41" t="n"/>
      <c r="B282" s="42" t="n"/>
      <c r="C282" s="42" t="n"/>
      <c r="D282" s="42" t="n"/>
      <c r="E282" s="42" t="n">
        <v>0</v>
      </c>
      <c r="F282" s="41">
        <f>A282</f>
        <v/>
      </c>
      <c r="G282" s="42" t="n"/>
      <c r="H282" s="42" t="n">
        <v>0</v>
      </c>
      <c r="I282" s="42" t="n">
        <v>1</v>
      </c>
    </row>
    <row r="283" ht="20.5" customFormat="1" customHeight="1" s="39">
      <c r="A283" s="41" t="n"/>
      <c r="B283" s="42" t="n"/>
      <c r="C283" s="42" t="n"/>
      <c r="D283" s="42" t="n"/>
      <c r="E283" s="42" t="n">
        <v>0</v>
      </c>
      <c r="F283" s="41">
        <f>A283</f>
        <v/>
      </c>
      <c r="G283" s="42" t="n"/>
      <c r="H283" s="42" t="n">
        <v>0</v>
      </c>
      <c r="I283" s="42" t="n">
        <v>1</v>
      </c>
    </row>
    <row r="284" ht="20.5" customFormat="1" customHeight="1" s="39">
      <c r="A284" s="41" t="n"/>
      <c r="B284" s="42" t="n"/>
      <c r="C284" s="42" t="n"/>
      <c r="D284" s="42" t="n"/>
      <c r="E284" s="42" t="n">
        <v>0</v>
      </c>
      <c r="F284" s="41">
        <f>A284</f>
        <v/>
      </c>
      <c r="G284" s="42" t="n"/>
      <c r="H284" s="42" t="n">
        <v>0</v>
      </c>
      <c r="I284" s="42" t="n">
        <v>1</v>
      </c>
    </row>
    <row r="285" ht="20.5" customFormat="1" customHeight="1" s="39">
      <c r="A285" s="41" t="n"/>
      <c r="B285" s="42" t="n"/>
      <c r="C285" s="42" t="n"/>
      <c r="D285" s="42" t="n"/>
      <c r="E285" s="42" t="n">
        <v>0</v>
      </c>
      <c r="F285" s="41">
        <f>A285</f>
        <v/>
      </c>
      <c r="G285" s="42" t="n"/>
      <c r="H285" s="42" t="n">
        <v>0</v>
      </c>
      <c r="I285" s="42" t="n">
        <v>1</v>
      </c>
    </row>
    <row r="286" ht="20.5" customFormat="1" customHeight="1" s="39">
      <c r="A286" s="41" t="n"/>
      <c r="B286" s="42" t="n"/>
      <c r="C286" s="42" t="n"/>
      <c r="D286" s="42" t="n"/>
      <c r="E286" s="42" t="n">
        <v>0</v>
      </c>
      <c r="F286" s="41">
        <f>A286</f>
        <v/>
      </c>
      <c r="G286" s="42" t="n"/>
      <c r="H286" s="42" t="n">
        <v>0</v>
      </c>
      <c r="I286" s="42" t="n">
        <v>1</v>
      </c>
    </row>
    <row r="287" ht="20.5" customFormat="1" customHeight="1" s="39">
      <c r="A287" s="41" t="n"/>
      <c r="B287" s="42" t="n"/>
      <c r="C287" s="42" t="n"/>
      <c r="D287" s="42" t="n"/>
      <c r="E287" s="42" t="n">
        <v>0</v>
      </c>
      <c r="F287" s="41">
        <f>A287</f>
        <v/>
      </c>
      <c r="G287" s="42" t="n"/>
      <c r="H287" s="42" t="n">
        <v>0</v>
      </c>
      <c r="I287" s="42" t="n">
        <v>1</v>
      </c>
    </row>
    <row r="288" ht="20.5" customFormat="1" customHeight="1" s="39">
      <c r="A288" s="41" t="n"/>
      <c r="B288" s="42" t="n"/>
      <c r="C288" s="42" t="n"/>
      <c r="D288" s="42" t="n"/>
      <c r="E288" s="42" t="n">
        <v>0</v>
      </c>
      <c r="F288" s="41">
        <f>A288</f>
        <v/>
      </c>
      <c r="G288" s="42" t="n"/>
      <c r="H288" s="42" t="n">
        <v>0</v>
      </c>
      <c r="I288" s="42" t="n">
        <v>1</v>
      </c>
    </row>
    <row r="289" ht="20.5" customFormat="1" customHeight="1" s="39">
      <c r="A289" s="41" t="n"/>
      <c r="B289" s="42" t="n"/>
      <c r="C289" s="42" t="n"/>
      <c r="D289" s="42" t="n"/>
      <c r="E289" s="42" t="n">
        <v>0</v>
      </c>
      <c r="F289" s="41">
        <f>A289</f>
        <v/>
      </c>
      <c r="G289" s="42" t="n"/>
      <c r="H289" s="42" t="n">
        <v>0</v>
      </c>
      <c r="I289" s="42" t="n">
        <v>1</v>
      </c>
    </row>
    <row r="290" ht="20.5" customFormat="1" customHeight="1" s="39">
      <c r="A290" s="41" t="n"/>
      <c r="B290" s="42" t="n"/>
      <c r="C290" s="42" t="n"/>
      <c r="D290" s="42" t="n"/>
      <c r="E290" s="42" t="n">
        <v>0</v>
      </c>
      <c r="F290" s="41">
        <f>A290</f>
        <v/>
      </c>
      <c r="G290" s="42" t="n"/>
      <c r="H290" s="42" t="n">
        <v>0</v>
      </c>
      <c r="I290" s="42" t="n">
        <v>1</v>
      </c>
    </row>
    <row r="291" ht="20.5" customFormat="1" customHeight="1" s="39">
      <c r="A291" s="41" t="n"/>
      <c r="B291" s="42" t="n"/>
      <c r="C291" s="42" t="n"/>
      <c r="D291" s="42" t="n"/>
      <c r="E291" s="42" t="n">
        <v>0</v>
      </c>
      <c r="F291" s="41">
        <f>A291</f>
        <v/>
      </c>
      <c r="G291" s="42" t="n"/>
      <c r="H291" s="42" t="n">
        <v>0</v>
      </c>
      <c r="I291" s="42" t="n">
        <v>1</v>
      </c>
    </row>
    <row r="292" ht="20.5" customFormat="1" customHeight="1" s="39">
      <c r="A292" s="41" t="n"/>
      <c r="B292" s="42" t="n"/>
      <c r="C292" s="42" t="n"/>
      <c r="D292" s="42" t="n"/>
      <c r="E292" s="42" t="n">
        <v>0</v>
      </c>
      <c r="F292" s="41">
        <f>A292</f>
        <v/>
      </c>
      <c r="G292" s="42" t="n"/>
      <c r="H292" s="42" t="n">
        <v>0</v>
      </c>
      <c r="I292" s="42" t="n">
        <v>1</v>
      </c>
    </row>
    <row r="293" ht="20.5" customFormat="1" customHeight="1" s="39">
      <c r="A293" s="41" t="n"/>
      <c r="B293" s="42" t="n"/>
      <c r="C293" s="42" t="n"/>
      <c r="D293" s="42" t="n"/>
      <c r="E293" s="42" t="n">
        <v>0</v>
      </c>
      <c r="F293" s="41">
        <f>A293</f>
        <v/>
      </c>
      <c r="G293" s="42" t="n"/>
      <c r="H293" s="42" t="n">
        <v>0</v>
      </c>
      <c r="I293" s="42" t="n">
        <v>1</v>
      </c>
    </row>
    <row r="294" ht="20.5" customFormat="1" customHeight="1" s="39">
      <c r="A294" s="41" t="n"/>
      <c r="B294" s="42" t="n"/>
      <c r="C294" s="42" t="n"/>
      <c r="D294" s="42" t="n"/>
      <c r="E294" s="42" t="n">
        <v>0</v>
      </c>
      <c r="F294" s="41">
        <f>A294</f>
        <v/>
      </c>
      <c r="G294" s="42" t="n"/>
      <c r="H294" s="42" t="n">
        <v>0</v>
      </c>
      <c r="I294" s="42" t="n">
        <v>1</v>
      </c>
    </row>
    <row r="295" ht="20.5" customFormat="1" customHeight="1" s="39">
      <c r="A295" s="41" t="n"/>
      <c r="B295" s="42" t="n"/>
      <c r="C295" s="42" t="n"/>
      <c r="D295" s="42" t="n"/>
      <c r="E295" s="42" t="n">
        <v>0</v>
      </c>
      <c r="F295" s="41">
        <f>A295</f>
        <v/>
      </c>
      <c r="G295" s="42" t="n"/>
      <c r="H295" s="42" t="n">
        <v>0</v>
      </c>
      <c r="I295" s="42" t="n">
        <v>1</v>
      </c>
    </row>
    <row r="296" ht="20.5" customFormat="1" customHeight="1" s="39">
      <c r="A296" s="41" t="n"/>
      <c r="B296" s="42" t="n"/>
      <c r="C296" s="42" t="n"/>
      <c r="D296" s="42" t="n"/>
      <c r="E296" s="42" t="n">
        <v>0</v>
      </c>
      <c r="F296" s="41">
        <f>A296</f>
        <v/>
      </c>
      <c r="G296" s="42" t="n"/>
      <c r="H296" s="42" t="n">
        <v>0</v>
      </c>
      <c r="I296" s="42" t="n">
        <v>1</v>
      </c>
    </row>
    <row r="297" ht="20.5" customFormat="1" customHeight="1" s="39">
      <c r="A297" s="41" t="n"/>
      <c r="B297" s="42" t="n"/>
      <c r="C297" s="42" t="n"/>
      <c r="D297" s="42" t="n"/>
      <c r="E297" s="42" t="n">
        <v>0</v>
      </c>
      <c r="F297" s="41">
        <f>A297</f>
        <v/>
      </c>
      <c r="G297" s="42" t="n"/>
      <c r="H297" s="42" t="n">
        <v>0</v>
      </c>
      <c r="I297" s="42" t="n">
        <v>1</v>
      </c>
    </row>
    <row r="298" ht="20.5" customFormat="1" customHeight="1" s="39">
      <c r="A298" s="41" t="n"/>
      <c r="B298" s="42" t="n"/>
      <c r="C298" s="42" t="n"/>
      <c r="D298" s="42" t="n"/>
      <c r="E298" s="42" t="n">
        <v>0</v>
      </c>
      <c r="F298" s="41">
        <f>A298</f>
        <v/>
      </c>
      <c r="G298" s="42" t="n"/>
      <c r="H298" s="42" t="n">
        <v>0</v>
      </c>
      <c r="I298" s="42" t="n">
        <v>1</v>
      </c>
    </row>
    <row r="299" ht="20.5" customFormat="1" customHeight="1" s="39">
      <c r="A299" s="41" t="n"/>
      <c r="B299" s="42" t="n"/>
      <c r="C299" s="42" t="n"/>
      <c r="D299" s="42" t="n"/>
      <c r="E299" s="42" t="n">
        <v>0</v>
      </c>
      <c r="F299" s="41">
        <f>A299</f>
        <v/>
      </c>
      <c r="G299" s="42" t="n"/>
      <c r="H299" s="42" t="n">
        <v>0</v>
      </c>
      <c r="I299" s="42" t="n">
        <v>1</v>
      </c>
    </row>
    <row r="300" ht="20.5" customFormat="1" customHeight="1" s="39">
      <c r="A300" s="41" t="n"/>
      <c r="B300" s="42" t="n"/>
      <c r="C300" s="42" t="n"/>
      <c r="D300" s="42" t="n"/>
      <c r="E300" s="42" t="n">
        <v>0</v>
      </c>
      <c r="F300" s="41">
        <f>A300</f>
        <v/>
      </c>
      <c r="G300" s="42" t="n"/>
      <c r="H300" s="42" t="n">
        <v>0</v>
      </c>
      <c r="I300" s="42" t="n">
        <v>1</v>
      </c>
    </row>
    <row r="301" ht="20.5" customFormat="1" customHeight="1" s="39">
      <c r="A301" s="41" t="n"/>
      <c r="B301" s="42" t="n"/>
      <c r="C301" s="42" t="n"/>
      <c r="D301" s="42" t="n"/>
      <c r="E301" s="42" t="n">
        <v>0</v>
      </c>
      <c r="F301" s="41">
        <f>A301</f>
        <v/>
      </c>
      <c r="G301" s="42" t="n"/>
      <c r="H301" s="42" t="n">
        <v>0</v>
      </c>
      <c r="I301" s="42" t="n">
        <v>1</v>
      </c>
    </row>
    <row r="302" ht="20.5" customFormat="1" customHeight="1" s="39">
      <c r="A302" s="41" t="n"/>
      <c r="B302" s="42" t="n"/>
      <c r="C302" s="42" t="n"/>
      <c r="D302" s="42" t="n"/>
      <c r="E302" s="42" t="n">
        <v>0</v>
      </c>
      <c r="F302" s="41">
        <f>A302</f>
        <v/>
      </c>
      <c r="G302" s="42" t="n"/>
      <c r="H302" s="42" t="n">
        <v>0</v>
      </c>
      <c r="I302" s="42" t="n">
        <v>1</v>
      </c>
    </row>
    <row r="303" ht="20.5" customFormat="1" customHeight="1" s="39">
      <c r="A303" s="41" t="n"/>
      <c r="B303" s="42" t="n"/>
      <c r="C303" s="42" t="n"/>
      <c r="D303" s="42" t="n"/>
      <c r="E303" s="42" t="n">
        <v>0</v>
      </c>
      <c r="F303" s="41">
        <f>A303</f>
        <v/>
      </c>
      <c r="G303" s="42" t="n"/>
      <c r="H303" s="42" t="n">
        <v>0</v>
      </c>
      <c r="I303" s="42" t="n">
        <v>1</v>
      </c>
    </row>
    <row r="304" ht="20.5" customFormat="1" customHeight="1" s="39">
      <c r="A304" s="41" t="n"/>
      <c r="B304" s="42" t="n"/>
      <c r="C304" s="42" t="n"/>
      <c r="D304" s="42" t="n"/>
      <c r="E304" s="42" t="n">
        <v>0</v>
      </c>
      <c r="F304" s="41">
        <f>A304</f>
        <v/>
      </c>
      <c r="G304" s="42" t="n"/>
      <c r="H304" s="42" t="n">
        <v>0</v>
      </c>
      <c r="I304" s="42" t="n">
        <v>1</v>
      </c>
    </row>
    <row r="305" ht="20.5" customFormat="1" customHeight="1" s="39">
      <c r="A305" s="41" t="n"/>
      <c r="B305" s="42" t="n"/>
      <c r="C305" s="42" t="n"/>
      <c r="D305" s="42" t="n"/>
      <c r="E305" s="42" t="n">
        <v>0</v>
      </c>
      <c r="F305" s="41">
        <f>A305</f>
        <v/>
      </c>
      <c r="G305" s="42" t="n"/>
      <c r="H305" s="42" t="n">
        <v>0</v>
      </c>
      <c r="I305" s="42" t="n">
        <v>1</v>
      </c>
    </row>
    <row r="306" ht="20.5" customFormat="1" customHeight="1" s="39">
      <c r="A306" s="41" t="n"/>
      <c r="B306" s="42" t="n"/>
      <c r="C306" s="42" t="n"/>
      <c r="D306" s="42" t="n"/>
      <c r="E306" s="42" t="n">
        <v>0</v>
      </c>
      <c r="F306" s="41">
        <f>A306</f>
        <v/>
      </c>
      <c r="G306" s="42" t="n"/>
      <c r="H306" s="42" t="n">
        <v>0</v>
      </c>
      <c r="I306" s="42" t="n">
        <v>1</v>
      </c>
    </row>
    <row r="307" ht="20.5" customFormat="1" customHeight="1" s="39">
      <c r="A307" s="41" t="n"/>
      <c r="B307" s="42" t="n"/>
      <c r="C307" s="42" t="n"/>
      <c r="D307" s="42" t="n"/>
      <c r="E307" s="42" t="n">
        <v>0</v>
      </c>
      <c r="F307" s="41">
        <f>A307</f>
        <v/>
      </c>
      <c r="G307" s="42" t="n"/>
      <c r="H307" s="42" t="n">
        <v>0</v>
      </c>
      <c r="I307" s="42" t="n">
        <v>1</v>
      </c>
    </row>
    <row r="308" ht="20.5" customFormat="1" customHeight="1" s="39">
      <c r="A308" s="41" t="n"/>
      <c r="B308" s="42" t="n"/>
      <c r="C308" s="42" t="n"/>
      <c r="D308" s="42" t="n"/>
      <c r="E308" s="42" t="n">
        <v>0</v>
      </c>
      <c r="F308" s="41">
        <f>A308</f>
        <v/>
      </c>
      <c r="G308" s="42" t="n"/>
      <c r="H308" s="42" t="n">
        <v>0</v>
      </c>
      <c r="I308" s="42" t="n">
        <v>1</v>
      </c>
    </row>
    <row r="309" ht="20.5" customFormat="1" customHeight="1" s="39">
      <c r="A309" s="41" t="n"/>
      <c r="B309" s="42" t="n"/>
      <c r="C309" s="42" t="n"/>
      <c r="D309" s="42" t="n"/>
      <c r="E309" s="42" t="n">
        <v>0</v>
      </c>
      <c r="F309" s="41">
        <f>A309</f>
        <v/>
      </c>
      <c r="G309" s="42" t="n"/>
      <c r="H309" s="42" t="n">
        <v>0</v>
      </c>
      <c r="I309" s="42" t="n">
        <v>1</v>
      </c>
    </row>
    <row r="310" ht="20.5" customFormat="1" customHeight="1" s="39">
      <c r="A310" s="41" t="n"/>
      <c r="B310" s="42" t="n"/>
      <c r="C310" s="42" t="n"/>
      <c r="D310" s="42" t="n"/>
      <c r="E310" s="42" t="n">
        <v>0</v>
      </c>
      <c r="F310" s="41">
        <f>A310</f>
        <v/>
      </c>
      <c r="G310" s="42" t="n"/>
      <c r="H310" s="42" t="n">
        <v>0</v>
      </c>
      <c r="I310" s="42" t="n">
        <v>1</v>
      </c>
    </row>
    <row r="311" ht="20.5" customFormat="1" customHeight="1" s="39">
      <c r="A311" s="41" t="n"/>
      <c r="B311" s="42" t="n"/>
      <c r="C311" s="42" t="n"/>
      <c r="D311" s="42" t="n"/>
      <c r="E311" s="42" t="n">
        <v>0</v>
      </c>
      <c r="F311" s="41">
        <f>A311</f>
        <v/>
      </c>
      <c r="G311" s="42" t="n"/>
      <c r="H311" s="42" t="n">
        <v>0</v>
      </c>
      <c r="I311" s="42" t="n">
        <v>1</v>
      </c>
    </row>
    <row r="312" ht="20.5" customFormat="1" customHeight="1" s="39">
      <c r="A312" s="41" t="n"/>
      <c r="B312" s="42" t="n"/>
      <c r="C312" s="42" t="n"/>
      <c r="D312" s="42" t="n"/>
      <c r="E312" s="42" t="n">
        <v>0</v>
      </c>
      <c r="F312" s="41">
        <f>A312</f>
        <v/>
      </c>
      <c r="G312" s="42" t="n"/>
      <c r="H312" s="42" t="n">
        <v>0</v>
      </c>
      <c r="I312" s="42" t="n">
        <v>1</v>
      </c>
    </row>
    <row r="313" ht="20.5" customFormat="1" customHeight="1" s="39">
      <c r="A313" s="41" t="n"/>
      <c r="B313" s="42" t="n"/>
      <c r="C313" s="42" t="n"/>
      <c r="D313" s="42" t="n"/>
      <c r="E313" s="42" t="n">
        <v>0</v>
      </c>
      <c r="F313" s="41">
        <f>A313</f>
        <v/>
      </c>
      <c r="G313" s="42" t="n"/>
      <c r="H313" s="42" t="n">
        <v>0</v>
      </c>
      <c r="I313" s="42" t="n">
        <v>1</v>
      </c>
    </row>
    <row r="314" ht="20.5" customFormat="1" customHeight="1" s="39">
      <c r="A314" s="41" t="n"/>
      <c r="B314" s="42" t="n"/>
      <c r="C314" s="42" t="n"/>
      <c r="D314" s="42" t="n"/>
      <c r="E314" s="42" t="n">
        <v>0</v>
      </c>
      <c r="F314" s="41">
        <f>A314</f>
        <v/>
      </c>
      <c r="G314" s="42" t="n"/>
      <c r="H314" s="42" t="n">
        <v>0</v>
      </c>
      <c r="I314" s="42" t="n">
        <v>1</v>
      </c>
    </row>
    <row r="315" ht="20.5" customFormat="1" customHeight="1" s="39">
      <c r="A315" s="41" t="n"/>
      <c r="B315" s="42" t="n"/>
      <c r="C315" s="42" t="n"/>
      <c r="D315" s="42" t="n"/>
      <c r="E315" s="42" t="n">
        <v>0</v>
      </c>
      <c r="F315" s="41">
        <f>A315</f>
        <v/>
      </c>
      <c r="G315" s="42" t="n"/>
      <c r="H315" s="42" t="n">
        <v>0</v>
      </c>
      <c r="I315" s="42" t="n">
        <v>1</v>
      </c>
    </row>
    <row r="316" ht="18" customFormat="1" customHeight="1" s="39">
      <c r="A316" s="41" t="n"/>
      <c r="B316" s="42" t="n"/>
      <c r="C316" s="42" t="n"/>
      <c r="D316" s="42" t="n"/>
      <c r="E316" s="42" t="n">
        <v>0</v>
      </c>
      <c r="F316" s="41">
        <f>A316</f>
        <v/>
      </c>
      <c r="G316" s="42" t="n"/>
      <c r="H316" s="42" t="n">
        <v>0</v>
      </c>
      <c r="I316" s="42" t="n">
        <v>1</v>
      </c>
    </row>
    <row r="317" ht="18" customFormat="1" customHeight="1" s="39">
      <c r="A317" s="41" t="n"/>
      <c r="B317" s="42" t="n"/>
      <c r="C317" s="42" t="n"/>
      <c r="D317" s="42" t="n"/>
      <c r="E317" s="42" t="n">
        <v>0</v>
      </c>
      <c r="F317" s="41">
        <f>A317</f>
        <v/>
      </c>
      <c r="G317" s="42" t="n"/>
      <c r="H317" s="42" t="n">
        <v>0</v>
      </c>
      <c r="I317" s="42" t="n">
        <v>1</v>
      </c>
    </row>
    <row r="318" ht="18" customFormat="1" customHeight="1" s="39">
      <c r="A318" s="41" t="inlineStr">
        <is>
          <t>10</t>
        </is>
      </c>
      <c r="B318" s="42" t="n"/>
      <c r="C318" s="42" t="n"/>
      <c r="D318" s="42" t="n"/>
      <c r="E318" s="42" t="n">
        <v>0</v>
      </c>
      <c r="F318" s="41">
        <f>A318</f>
        <v/>
      </c>
      <c r="G318" s="42" t="n"/>
      <c r="H318" s="42" t="n">
        <v>0</v>
      </c>
      <c r="I318" s="42" t="n">
        <v>1</v>
      </c>
    </row>
    <row r="319" ht="18" customFormat="1" customHeight="1" s="39">
      <c r="A319" s="41" t="n"/>
      <c r="B319" s="42" t="n"/>
      <c r="C319" s="42" t="n"/>
      <c r="D319" s="42" t="n"/>
      <c r="E319" s="42" t="n">
        <v>0</v>
      </c>
      <c r="F319" s="41">
        <f>A319</f>
        <v/>
      </c>
      <c r="G319" s="42" t="n"/>
      <c r="H319" s="42" t="n">
        <v>0</v>
      </c>
      <c r="I319" s="42" t="n">
        <v>1</v>
      </c>
    </row>
    <row r="320" ht="18" customFormat="1" customHeight="1" s="39">
      <c r="A320" s="41" t="n"/>
      <c r="B320" s="42" t="n"/>
      <c r="C320" s="42" t="n"/>
      <c r="D320" s="42" t="n"/>
      <c r="E320" s="42" t="n">
        <v>0</v>
      </c>
      <c r="F320" s="41">
        <f>A320</f>
        <v/>
      </c>
      <c r="G320" s="42" t="n"/>
      <c r="H320" s="42" t="n">
        <v>0</v>
      </c>
      <c r="I320" s="42" t="n">
        <v>1</v>
      </c>
    </row>
    <row r="321" ht="18" customFormat="1" customHeight="1" s="39">
      <c r="A321" s="41" t="n"/>
      <c r="B321" s="42" t="n"/>
      <c r="C321" s="42" t="n"/>
      <c r="D321" s="42" t="n"/>
      <c r="E321" s="42" t="n">
        <v>0</v>
      </c>
      <c r="F321" s="41">
        <f>A321</f>
        <v/>
      </c>
      <c r="G321" s="42" t="n"/>
      <c r="H321" s="42" t="n">
        <v>0</v>
      </c>
      <c r="I321" s="42" t="n">
        <v>1</v>
      </c>
    </row>
    <row r="322" ht="18" customFormat="1" customHeight="1" s="39">
      <c r="A322" s="41" t="n"/>
      <c r="B322" s="42" t="n"/>
      <c r="C322" s="42" t="n"/>
      <c r="D322" s="42" t="n"/>
      <c r="E322" s="42" t="n">
        <v>0</v>
      </c>
      <c r="F322" s="41">
        <f>A322</f>
        <v/>
      </c>
      <c r="G322" s="42" t="n"/>
      <c r="H322" s="42" t="n">
        <v>0</v>
      </c>
      <c r="I322" s="42" t="n">
        <v>1</v>
      </c>
    </row>
    <row r="323" ht="18" customFormat="1" customHeight="1" s="39">
      <c r="A323" s="41" t="n"/>
      <c r="B323" s="42" t="n"/>
      <c r="C323" s="42" t="n"/>
      <c r="D323" s="42" t="n"/>
      <c r="E323" s="42" t="n">
        <v>0</v>
      </c>
      <c r="F323" s="41">
        <f>A323</f>
        <v/>
      </c>
      <c r="G323" s="42" t="n"/>
      <c r="H323" s="42" t="n">
        <v>0</v>
      </c>
      <c r="I323" s="42" t="n">
        <v>1</v>
      </c>
    </row>
    <row r="324" ht="18" customFormat="1" customHeight="1" s="39">
      <c r="A324" s="41" t="n"/>
      <c r="B324" s="42" t="n"/>
      <c r="C324" s="42" t="n"/>
      <c r="D324" s="42" t="n"/>
      <c r="E324" s="42" t="n">
        <v>0</v>
      </c>
      <c r="F324" s="41">
        <f>A324</f>
        <v/>
      </c>
      <c r="G324" s="42" t="n"/>
      <c r="H324" s="42" t="n">
        <v>0</v>
      </c>
      <c r="I324" s="42" t="n">
        <v>1</v>
      </c>
    </row>
    <row r="325" ht="18" customFormat="1" customHeight="1" s="39">
      <c r="A325" s="42" t="n"/>
      <c r="B325" s="42" t="n"/>
      <c r="C325" s="42" t="n"/>
      <c r="D325" s="42" t="n"/>
      <c r="E325" s="42" t="n">
        <v>0</v>
      </c>
      <c r="F325" s="41">
        <f>A325</f>
        <v/>
      </c>
      <c r="G325" s="42" t="n"/>
      <c r="H325" s="42" t="n">
        <v>0</v>
      </c>
      <c r="I325" s="42" t="n">
        <v>1</v>
      </c>
    </row>
    <row r="326" ht="18" customFormat="1" customHeight="1" s="39">
      <c r="A326" s="42" t="n"/>
      <c r="B326" s="42" t="n"/>
      <c r="C326" s="42" t="n"/>
      <c r="D326" s="42" t="n"/>
      <c r="E326" s="42" t="n">
        <v>0</v>
      </c>
      <c r="F326" s="41">
        <f>A326</f>
        <v/>
      </c>
      <c r="G326" s="42" t="n"/>
      <c r="H326" s="42" t="n">
        <v>0</v>
      </c>
      <c r="I326" s="4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Lupe Danyluk</dc:creator>
  <dcterms:created xmlns:dcterms="http://purl.org/dc/terms/" xmlns:xsi="http://www.w3.org/2001/XMLSchema-instance" xsi:type="dcterms:W3CDTF">2019-08-22T14:58:45Z</dcterms:created>
  <dcterms:modified xmlns:dcterms="http://purl.org/dc/terms/" xmlns:xsi="http://www.w3.org/2001/XMLSchema-instance" xsi:type="dcterms:W3CDTF">2026-04-02T00:40:06Z</dcterms:modified>
  <cp:lastModifiedBy>Williams Martins</cp:lastModifiedBy>
  <cp:lastPrinted>2023-07-13T21:50:54Z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0x010100FB5522EDCB58CB4C9065691AC13E50E8</vt:lpwstr>
  </property>
  <property name="Order" fmtid="{D5CDD505-2E9C-101B-9397-08002B2CF9AE}" pid="3">
    <vt:r8 xmlns:vt="http://schemas.openxmlformats.org/officeDocument/2006/docPropsVTypes">23300</vt:r8>
  </property>
  <property name="_ExtendedDescription" fmtid="{D5CDD505-2E9C-101B-9397-08002B2CF9AE}" pid="4">
    <vt:lpwstr xmlns:vt="http://schemas.openxmlformats.org/officeDocument/2006/docPropsVTypes"/>
  </property>
  <property name="TriggerFlowInfo" fmtid="{D5CDD505-2E9C-101B-9397-08002B2CF9AE}" pid="5">
    <vt:lpwstr xmlns:vt="http://schemas.openxmlformats.org/officeDocument/2006/docPropsVTypes"/>
  </property>
  <property name="ComplianceAssetId" fmtid="{D5CDD505-2E9C-101B-9397-08002B2CF9AE}" pid="6">
    <vt:lpwstr xmlns:vt="http://schemas.openxmlformats.org/officeDocument/2006/docPropsVTypes"/>
  </property>
  <property name="MediaServiceImageTags" fmtid="{D5CDD505-2E9C-101B-9397-08002B2CF9AE}" pid="7">
    <vt:lpwstr xmlns:vt="http://schemas.openxmlformats.org/officeDocument/2006/docPropsVTypes"/>
  </property>
</Properties>
</file>